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9B4CE866-C047-4A5A-AF99-93BEF6081216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Customers_Data" sheetId="1" r:id="rId1"/>
    <sheet name="Region vs Total Spending" sheetId="3" r:id="rId2"/>
    <sheet name="Charts" sheetId="5" r:id="rId3"/>
    <sheet name="Dashboard" sheetId="6" r:id="rId4"/>
  </sheets>
  <calcPr calcId="191028"/>
  <pivotCaches>
    <pivotCache cacheId="640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K3" i="1"/>
  <c r="K20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S9" i="1" l="1"/>
  <c r="S3" i="1"/>
  <c r="S6" i="1" l="1"/>
  <c r="S5" i="1"/>
  <c r="S4" i="1"/>
</calcChain>
</file>

<file path=xl/sharedStrings.xml><?xml version="1.0" encoding="utf-8"?>
<sst xmlns="http://schemas.openxmlformats.org/spreadsheetml/2006/main" count="1009" uniqueCount="119">
  <si>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</si>
  <si>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</si>
  <si>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</si>
  <si>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</si>
  <si>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</si>
  <si>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</si>
  <si>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</si>
  <si>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</si>
  <si>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</si>
  <si>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Total Spending</t>
  </si>
  <si>
    <t>Time Stamp</t>
  </si>
  <si>
    <t>Order_Month</t>
  </si>
  <si>
    <t>Top 10 Customer</t>
  </si>
  <si>
    <t xml:space="preserve">INDEX &amp; MATCH </t>
  </si>
  <si>
    <t>CUST019</t>
  </si>
  <si>
    <t>James Davis</t>
  </si>
  <si>
    <t>West</t>
  </si>
  <si>
    <t>Books</t>
  </si>
  <si>
    <t>Sum of Sales</t>
  </si>
  <si>
    <t xml:space="preserve">Max Purchase Amount  </t>
  </si>
  <si>
    <t>CUST012</t>
  </si>
  <si>
    <t>Robert Anderson</t>
  </si>
  <si>
    <t>Clothing</t>
  </si>
  <si>
    <t>CUST003</t>
  </si>
  <si>
    <t xml:space="preserve">Top Customer Name </t>
  </si>
  <si>
    <t>CUST017</t>
  </si>
  <si>
    <t>James Taylor</t>
  </si>
  <si>
    <t>East</t>
  </si>
  <si>
    <t>CUST004</t>
  </si>
  <si>
    <t>Top Customer Region</t>
  </si>
  <si>
    <t>CUST005</t>
  </si>
  <si>
    <t>South</t>
  </si>
  <si>
    <t>Electronics</t>
  </si>
  <si>
    <t>CUST007</t>
  </si>
  <si>
    <t>Top Customer Sales</t>
  </si>
  <si>
    <t>CUST030</t>
  </si>
  <si>
    <t>James Wilson</t>
  </si>
  <si>
    <t>North</t>
  </si>
  <si>
    <t>CUST008</t>
  </si>
  <si>
    <t>Michael Anderson</t>
  </si>
  <si>
    <t>Furniture</t>
  </si>
  <si>
    <t>High Value Threshold</t>
  </si>
  <si>
    <t>CUST001</t>
  </si>
  <si>
    <t>Linda Wilson</t>
  </si>
  <si>
    <t>CUST015</t>
  </si>
  <si>
    <t>High Value Customer Count</t>
  </si>
  <si>
    <t>CUST026</t>
  </si>
  <si>
    <t>Mary Davis</t>
  </si>
  <si>
    <t>CUST021</t>
  </si>
  <si>
    <t>CUST009</t>
  </si>
  <si>
    <t>Linda Jackson</t>
  </si>
  <si>
    <t>Central</t>
  </si>
  <si>
    <t>CUST010</t>
  </si>
  <si>
    <t>David Thomas</t>
  </si>
  <si>
    <t>CUST028</t>
  </si>
  <si>
    <t>CUST014</t>
  </si>
  <si>
    <t>Emma Davis</t>
  </si>
  <si>
    <t>Office Supplies</t>
  </si>
  <si>
    <t>Grand Total</t>
  </si>
  <si>
    <t>CUST023</t>
  </si>
  <si>
    <t>CUST029</t>
  </si>
  <si>
    <t>David Smith</t>
  </si>
  <si>
    <t>Sarah Anderson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</si>
  <si>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</si>
  <si>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</si>
  <si>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</si>
  <si>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</si>
  <si>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</si>
  <si>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</si>
  <si>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</si>
  <si>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Linda Taylor</t>
  </si>
  <si>
    <t>CUST025</t>
  </si>
  <si>
    <t>David Brown</t>
  </si>
  <si>
    <t>David Davis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</si>
  <si>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</si>
  <si>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</si>
  <si>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</si>
  <si>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</si>
  <si>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</si>
  <si>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</si>
  <si>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</si>
  <si>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</si>
  <si>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CUST020</t>
  </si>
  <si>
    <t>Linda Moore</t>
  </si>
  <si>
    <t>CUST024</t>
  </si>
  <si>
    <t>David Anderson</t>
  </si>
  <si>
    <t>CUST013</t>
  </si>
  <si>
    <t>CUST027</t>
  </si>
  <si>
    <t>CUST018</t>
  </si>
  <si>
    <t>Sum of Total Spending</t>
  </si>
  <si>
    <t>Region vs Sum of Sales</t>
  </si>
  <si>
    <t>Product Category vs Sum of Quantity</t>
  </si>
  <si>
    <t>OrderMonth vs Sum of Sales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</si>
  <si>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</si>
  <si>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</si>
  <si>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</si>
  <si>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</si>
  <si>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</si>
  <si>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</si>
  <si>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</si>
  <si>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</si>
  <si>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</si>
  <si>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</si>
  <si>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</si>
  <si>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</si>
  <si>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</si>
  <si>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 </t>
  </si>
  <si>
    <r>
      <rPr>
        <b/>
        <sz val="22"/>
        <color rgb="FFFFFFFF"/>
        <rFont val="Aptos Narrow"/>
      </rPr>
      <t xml:space="preserve">                      </t>
    </r>
    <r>
      <rPr>
        <b/>
        <sz val="18"/>
        <color rgb="FFFFFFFF"/>
        <rFont val="Aptos Narrow"/>
      </rPr>
      <t xml:space="preserve">SALES PERFORMANCE DASHBOARD  </t>
    </r>
  </si>
  <si>
    <t>TOTAL SALES</t>
  </si>
  <si>
    <t>TOTAL PROFIT</t>
  </si>
  <si>
    <t>TOTAL CUSTOMERS</t>
  </si>
  <si>
    <t>TOP CUSTOMER</t>
  </si>
  <si>
    <t>₹ 1,95,218</t>
  </si>
  <si>
    <t>AVG ORDER VALUE</t>
  </si>
  <si>
    <t>MAX PURCHASE</t>
  </si>
  <si>
    <t>TOTAL ORDERS</t>
  </si>
  <si>
    <t>PROFIT MARGIN</t>
  </si>
  <si>
    <t>REGION WISE SALES</t>
  </si>
  <si>
    <t>Product Categary  vs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</si>
</sst>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6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theme="5"/>
      <name val="Calibri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 Unicode MS"/>
    </font>
    <font>
      <b/>
      <sz val="22"/>
      <color rgb="FFFFFFFF"/>
      <name val="Aptos Narrow"/>
      <family val="2"/>
    </font>
    <font>
      <b/>
      <sz val="12"/>
      <color rgb="FF44B3E1"/>
      <name val="Aptos Narrow"/>
      <family val="2"/>
    </font>
    <font>
      <b/>
      <sz val="11"/>
      <color rgb="FF47D359"/>
      <name val="Aptos Narrow"/>
      <family val="2"/>
    </font>
    <font>
      <b/>
      <sz val="11"/>
      <color rgb="FFFFFF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782170"/>
      <name val="Aptos Narrow"/>
      <family val="2"/>
    </font>
    <font>
      <b/>
      <sz val="11"/>
      <color rgb="FF44B3E1"/>
      <name val="Aptos Narrow"/>
      <family val="2"/>
    </font>
    <font>
      <b/>
      <sz val="22"/>
      <color rgb="FFFFFFFF"/>
      <name val="Aptos Narrow"/>
    </font>
    <font>
      <b/>
      <sz val="18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rgb="FF47D359"/>
      </left>
      <right/>
      <top style="thin">
        <color rgb="FF47D359"/>
      </top>
      <bottom style="thin">
        <color rgb="FF47D359"/>
      </bottom>
      <diagonal/>
    </border>
    <border>
      <left/>
      <right style="thin">
        <color rgb="FFFFFF00"/>
      </right>
      <top style="thin">
        <color rgb="FF47D359"/>
      </top>
      <bottom style="thin">
        <color rgb="FF47D359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47D359"/>
      </left>
      <right/>
      <top/>
      <bottom style="thin">
        <color rgb="FF47D359"/>
      </bottom>
      <diagonal/>
    </border>
    <border>
      <left/>
      <right style="thin">
        <color indexed="64"/>
      </right>
      <top/>
      <bottom style="thin">
        <color rgb="FF47D359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D86DCD"/>
      </left>
      <right/>
      <top style="thin">
        <color rgb="FFD86DCD"/>
      </top>
      <bottom style="thin">
        <color rgb="FFD86DCD"/>
      </bottom>
      <diagonal/>
    </border>
    <border>
      <left/>
      <right style="thin">
        <color rgb="FF000000"/>
      </right>
      <top style="thin">
        <color rgb="FFD86DCD"/>
      </top>
      <bottom style="thin">
        <color rgb="FFD86DCD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7D359"/>
      </right>
      <top style="thin">
        <color rgb="FF47D359"/>
      </top>
      <bottom style="thin">
        <color rgb="FF47D359"/>
      </bottom>
      <diagonal/>
    </border>
    <border>
      <left/>
      <right/>
      <top style="thin">
        <color rgb="FF47D359"/>
      </top>
      <bottom style="thin">
        <color rgb="FF47D359"/>
      </bottom>
      <diagonal/>
    </border>
    <border>
      <left style="thin">
        <color rgb="FFD86DCD"/>
      </left>
      <right/>
      <top/>
      <bottom style="thin">
        <color rgb="FFD86DCD"/>
      </bottom>
      <diagonal/>
    </border>
    <border>
      <left/>
      <right style="thin">
        <color rgb="FFD86DCD"/>
      </right>
      <top/>
      <bottom style="thin">
        <color rgb="FFD86DCD"/>
      </bottom>
      <diagonal/>
    </border>
    <border>
      <left/>
      <right style="thin">
        <color rgb="FF47D359"/>
      </right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000000"/>
      </right>
      <top/>
      <bottom style="thin">
        <color rgb="FFFFFF00"/>
      </bottom>
      <diagonal/>
    </border>
    <border>
      <left/>
      <right/>
      <top/>
      <bottom style="thin">
        <color rgb="FFFFFF00"/>
      </bottom>
      <diagonal/>
    </border>
    <border>
      <left style="thin">
        <color rgb="FFFFFF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Fill="1" applyBorder="1" applyAlignment="1"/>
    <xf numFmtId="14" fontId="1" fillId="0" borderId="1" xfId="0" applyNumberFormat="1" applyFont="1" applyFill="1" applyBorder="1" applyAlignment="1"/>
    <xf numFmtId="0" fontId="0" fillId="0" borderId="0" xfId="0" applyAlignment="1">
      <alignment horizontal="left"/>
    </xf>
    <xf numFmtId="164" fontId="1" fillId="0" borderId="1" xfId="0" applyNumberFormat="1" applyFont="1" applyFill="1" applyBorder="1" applyAlignment="1">
      <alignment horizontal="right" indent="1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0" fontId="0" fillId="2" borderId="1" xfId="0" applyFill="1" applyBorder="1"/>
    <xf numFmtId="0" fontId="0" fillId="2" borderId="1" xfId="0" applyNumberFormat="1" applyFill="1" applyBorder="1"/>
    <xf numFmtId="0" fontId="4" fillId="4" borderId="5" xfId="0" applyFont="1" applyFill="1" applyBorder="1" applyAlignment="1"/>
    <xf numFmtId="0" fontId="4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4" fillId="4" borderId="2" xfId="0" applyFont="1" applyFill="1" applyBorder="1" applyAlignment="1"/>
    <xf numFmtId="164" fontId="0" fillId="0" borderId="1" xfId="0" applyNumberFormat="1" applyBorder="1"/>
    <xf numFmtId="22" fontId="1" fillId="0" borderId="1" xfId="0" applyNumberFormat="1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2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6" borderId="0" xfId="0" applyFill="1"/>
    <xf numFmtId="0" fontId="4" fillId="7" borderId="0" xfId="0" applyFont="1" applyFill="1" applyBorder="1" applyAlignment="1"/>
    <xf numFmtId="0" fontId="4" fillId="7" borderId="6" xfId="0" applyFont="1" applyFill="1" applyBorder="1" applyAlignment="1"/>
    <xf numFmtId="0" fontId="7" fillId="7" borderId="10" xfId="0" applyFont="1" applyFill="1" applyBorder="1" applyAlignment="1"/>
    <xf numFmtId="0" fontId="7" fillId="7" borderId="11" xfId="0" applyFont="1" applyFill="1" applyBorder="1" applyAlignment="1"/>
    <xf numFmtId="0" fontId="8" fillId="7" borderId="12" xfId="0" applyFont="1" applyFill="1" applyBorder="1" applyAlignment="1"/>
    <xf numFmtId="0" fontId="8" fillId="7" borderId="13" xfId="0" applyFont="1" applyFill="1" applyBorder="1" applyAlignment="1"/>
    <xf numFmtId="0" fontId="9" fillId="7" borderId="15" xfId="0" applyFont="1" applyFill="1" applyBorder="1" applyAlignment="1"/>
    <xf numFmtId="0" fontId="9" fillId="7" borderId="14" xfId="0" applyFont="1" applyFill="1" applyBorder="1" applyAlignment="1"/>
    <xf numFmtId="0" fontId="10" fillId="7" borderId="17" xfId="0" applyFont="1" applyFill="1" applyBorder="1" applyAlignment="1"/>
    <xf numFmtId="0" fontId="10" fillId="7" borderId="16" xfId="0" applyFont="1" applyFill="1" applyBorder="1" applyAlignment="1"/>
    <xf numFmtId="0" fontId="11" fillId="7" borderId="10" xfId="0" applyFont="1" applyFill="1" applyBorder="1" applyAlignment="1"/>
    <xf numFmtId="0" fontId="11" fillId="7" borderId="11" xfId="0" applyFont="1" applyFill="1" applyBorder="1" applyAlignment="1"/>
    <xf numFmtId="0" fontId="11" fillId="7" borderId="18" xfId="0" applyFont="1" applyFill="1" applyBorder="1" applyAlignment="1"/>
    <xf numFmtId="0" fontId="11" fillId="7" borderId="19" xfId="0" applyFont="1" applyFill="1" applyBorder="1" applyAlignment="1"/>
    <xf numFmtId="0" fontId="11" fillId="7" borderId="20" xfId="0" applyFont="1" applyFill="1" applyBorder="1" applyAlignment="1"/>
    <xf numFmtId="0" fontId="11" fillId="7" borderId="21" xfId="0" applyFont="1" applyFill="1" applyBorder="1" applyAlignment="1"/>
    <xf numFmtId="0" fontId="11" fillId="7" borderId="17" xfId="0" applyFont="1" applyFill="1" applyBorder="1" applyAlignment="1"/>
    <xf numFmtId="0" fontId="11" fillId="7" borderId="16" xfId="0" applyFont="1" applyFill="1" applyBorder="1" applyAlignment="1"/>
    <xf numFmtId="0" fontId="12" fillId="7" borderId="22" xfId="0" applyFont="1" applyFill="1" applyBorder="1" applyAlignment="1"/>
    <xf numFmtId="0" fontId="12" fillId="7" borderId="23" xfId="0" applyFont="1" applyFill="1" applyBorder="1" applyAlignment="1"/>
    <xf numFmtId="0" fontId="13" fillId="7" borderId="10" xfId="0" applyFont="1" applyFill="1" applyBorder="1" applyAlignment="1"/>
    <xf numFmtId="0" fontId="13" fillId="7" borderId="24" xfId="0" applyFont="1" applyFill="1" applyBorder="1" applyAlignment="1"/>
    <xf numFmtId="0" fontId="8" fillId="7" borderId="26" xfId="0" applyFont="1" applyFill="1" applyBorder="1" applyAlignment="1"/>
    <xf numFmtId="0" fontId="8" fillId="7" borderId="25" xfId="0" applyFont="1" applyFill="1" applyBorder="1" applyAlignment="1"/>
    <xf numFmtId="0" fontId="11" fillId="7" borderId="27" xfId="0" applyFont="1" applyFill="1" applyBorder="1" applyAlignment="1"/>
    <xf numFmtId="0" fontId="11" fillId="7" borderId="28" xfId="0" applyFont="1" applyFill="1" applyBorder="1" applyAlignment="1"/>
    <xf numFmtId="0" fontId="11" fillId="7" borderId="30" xfId="0" applyFont="1" applyFill="1" applyBorder="1" applyAlignment="1"/>
    <xf numFmtId="0" fontId="11" fillId="7" borderId="29" xfId="0" applyFont="1" applyFill="1" applyBorder="1" applyAlignment="1"/>
    <xf numFmtId="0" fontId="11" fillId="7" borderId="26" xfId="0" applyFont="1" applyFill="1" applyBorder="1" applyAlignment="1"/>
    <xf numFmtId="0" fontId="11" fillId="7" borderId="25" xfId="0" applyFont="1" applyFill="1" applyBorder="1" applyAlignment="1"/>
    <xf numFmtId="10" fontId="11" fillId="7" borderId="32" xfId="0" applyNumberFormat="1" applyFont="1" applyFill="1" applyBorder="1" applyAlignment="1"/>
    <xf numFmtId="0" fontId="11" fillId="7" borderId="31" xfId="0" applyFont="1" applyFill="1" applyBorder="1" applyAlignment="1"/>
    <xf numFmtId="0" fontId="4" fillId="7" borderId="33" xfId="0" applyFont="1" applyFill="1" applyBorder="1" applyAlignment="1"/>
    <xf numFmtId="0" fontId="11" fillId="7" borderId="3" xfId="0" applyFont="1" applyFill="1" applyBorder="1" applyAlignment="1"/>
    <xf numFmtId="0" fontId="11" fillId="7" borderId="0" xfId="0" applyFont="1" applyFill="1" applyAlignment="1"/>
    <xf numFmtId="0" fontId="4" fillId="7" borderId="34" xfId="0" applyFont="1" applyFill="1" applyBorder="1" applyAlignment="1"/>
    <xf numFmtId="0" fontId="11" fillId="7" borderId="34" xfId="0" applyFont="1" applyFill="1" applyBorder="1" applyAlignment="1"/>
    <xf numFmtId="0" fontId="11" fillId="7" borderId="2" xfId="0" applyFont="1" applyFill="1" applyBorder="1" applyAlignment="1"/>
    <xf numFmtId="0" fontId="4" fillId="7" borderId="0" xfId="0" applyFont="1" applyFill="1" applyBorder="1" applyAlignment="1"/>
    <xf numFmtId="0" fontId="14" fillId="8" borderId="9" xfId="0" applyFont="1" applyFill="1" applyBorder="1" applyAlignment="1"/>
    <xf numFmtId="0" fontId="6" fillId="8" borderId="9" xfId="0" applyFont="1" applyFill="1" applyBorder="1" applyAlignment="1"/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7" formatCode="m/d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right" vertical="bottom" textRotation="0" wrapText="0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[Project-2-Analyzer.xlsx]Charts!PivotTable4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Charts!$B$5:$B$10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Charts!$C$5:$C$10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9-4197-A4A3-C7AAC2562E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0"/>
        <c:axId val="949766151"/>
        <c:axId val="622301192"/>
      </c:barChart>
      <c:catAx>
        <c:axId val="949766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01192"/>
        <c:crosses val="autoZero"/>
        <c:auto val="1"/>
        <c:lblAlgn val="ctr"/>
        <c:lblOffset val="100"/>
        <c:noMultiLvlLbl val="0"/>
      </c:catAx>
      <c:valAx>
        <c:axId val="62230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6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[Project-2-Analyzer.xlsx]Charts!PivotTable5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87-4D7C-9825-E30A50F6FD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87-4D7C-9825-E30A50F6FD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87-4D7C-9825-E30A50F6FD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87-4D7C-9825-E30A50F6FD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87-4D7C-9825-E30A50F6FD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Charts!$E$5:$E$10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Charts!$F$5:$F$10</c:f>
              <c:numCache>
                <c:formatCode>General</c:formatCode>
                <c:ptCount val="5"/>
                <c:pt idx="0">
                  <c:v>523</c:v>
                </c:pt>
                <c:pt idx="1">
                  <c:v>386</c:v>
                </c:pt>
                <c:pt idx="2">
                  <c:v>418</c:v>
                </c:pt>
                <c:pt idx="3">
                  <c:v>354</c:v>
                </c:pt>
                <c:pt idx="4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1-4A07-BB00-748CF74DD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[Project-2-Analyzer.xlsx]Charts!PivotTable3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OrderMonths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Charts!$I$4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Charts!$H$5:$H$17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Charts!$I$5:$I$17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4-4F93-ACE3-370D9A1F9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408776"/>
        <c:axId val="1901411336"/>
      </c:lineChart>
      <c:catAx>
        <c:axId val="190140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11336"/>
        <c:crosses val="autoZero"/>
        <c:auto val="1"/>
        <c:lblAlgn val="ctr"/>
        <c:lblOffset val="100"/>
        <c:noMultiLvlLbl val="0"/>
      </c:catAx>
      <c:valAx>
        <c:axId val="190141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0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[Project-2-Analyzer.xlsx]Charts!PivotTable4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Charts!$B$5:$B$10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Charts!$C$5:$C$10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2-49DB-892E-55CD6B75AC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0"/>
        <c:axId val="949766151"/>
        <c:axId val="622301192"/>
      </c:barChart>
      <c:catAx>
        <c:axId val="949766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01192"/>
        <c:crosses val="autoZero"/>
        <c:auto val="1"/>
        <c:lblAlgn val="ctr"/>
        <c:lblOffset val="100"/>
        <c:noMultiLvlLbl val="0"/>
      </c:catAx>
      <c:valAx>
        <c:axId val="62230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6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[Project-2-Analyzer.xlsx]Charts!PivotTable5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3F-4265-92DF-470C3B3D4A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3F-4265-92DF-470C3B3D4A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3F-4265-92DF-470C3B3D4A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3F-4265-92DF-470C3B3D4A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3F-4265-92DF-470C3B3D4A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Charts!$E$5:$E$10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Charts!$F$5:$F$10</c:f>
              <c:numCache>
                <c:formatCode>General</c:formatCode>
                <c:ptCount val="5"/>
                <c:pt idx="0">
                  <c:v>523</c:v>
                </c:pt>
                <c:pt idx="1">
                  <c:v>386</c:v>
                </c:pt>
                <c:pt idx="2">
                  <c:v>418</c:v>
                </c:pt>
                <c:pt idx="3">
                  <c:v>354</c:v>
                </c:pt>
                <c:pt idx="4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3F-4265-92DF-470C3B3D4A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[Project-2-Analyzer.xlsx]Charts!PivotTable3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OrderMonths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Charts!$I$4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Charts!$H$5:$H$17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Charts!$I$5:$I$17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4-4D3D-9268-2F683A740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408776"/>
        <c:axId val="1901411336"/>
      </c:lineChart>
      <c:catAx>
        <c:axId val="190140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11336"/>
        <c:crosses val="autoZero"/>
        <c:auto val="1"/>
        <c:lblAlgn val="ctr"/>
        <c:lblOffset val="100"/>
        <c:noMultiLvlLbl val="0"/>
      </c:catAx>
      <c:valAx>
        <c:axId val="190141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0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152400</xdr:rowOff>
    </xdr:from>
    <xdr:to>
      <xdr:col>3</xdr:col>
      <xdr:colOff>9525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FD0BA-A17C-5882-B582-1CEB59987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10</xdr:row>
      <xdr:rowOff>161925</xdr:rowOff>
    </xdr:from>
    <xdr:to>
      <xdr:col>6</xdr:col>
      <xdr:colOff>409575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077BCF-EA7C-1AD4-70C9-DE4FED62D573}"/>
            </a:ext>
            <a:ext uri="{147F2762-F138-4A5C-976F-8EAC2B608ADB}">
              <a16:predDERef xmlns:a16="http://schemas.microsoft.com/office/drawing/2014/main" pred="{485FD0BA-A17C-5882-B582-1CEB59987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809625</xdr:colOff>
      <xdr:row>17</xdr:row>
      <xdr:rowOff>171450</xdr:rowOff>
    </xdr:from>
    <xdr:to>
      <xdr:col>12</xdr:col>
      <xdr:colOff>0</xdr:colOff>
      <xdr:row>31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EA3076-4648-5F3E-0988-76A57885A403}"/>
            </a:ext>
            <a:ext uri="{147F2762-F138-4A5C-976F-8EAC2B608ADB}">
              <a16:predDERef xmlns:a16="http://schemas.microsoft.com/office/drawing/2014/main" pred="{91077BCF-EA7C-1AD4-70C9-DE4FED62D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142875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A5C1D-F836-4547-AA75-62A7C1D27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9</xdr:row>
      <xdr:rowOff>19050</xdr:rowOff>
    </xdr:from>
    <xdr:to>
      <xdr:col>9</xdr:col>
      <xdr:colOff>247650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A7AE1E-CD29-45D4-BCFC-3B7D14F71044}"/>
            </a:ext>
            <a:ext uri="{147F2762-F138-4A5C-976F-8EAC2B608ADB}">
              <a16:predDERef xmlns:a16="http://schemas.microsoft.com/office/drawing/2014/main" pred="{74EA5C1D-F836-4547-AA75-62A7C1D27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23</xdr:row>
      <xdr:rowOff>180975</xdr:rowOff>
    </xdr:from>
    <xdr:to>
      <xdr:col>9</xdr:col>
      <xdr:colOff>228600</xdr:colOff>
      <xdr:row>37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04AFAA-5598-4735-B21A-D1C5FEA2C807}"/>
            </a:ext>
            <a:ext uri="{147F2762-F138-4A5C-976F-8EAC2B608ADB}">
              <a16:predDERef xmlns:a16="http://schemas.microsoft.com/office/drawing/2014/main" pred="{9FA7AE1E-CD29-45D4-BCFC-3B7D14F71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652714699077" createdVersion="8" refreshedVersion="8" minRefreshableVersion="3" recordCount="200" xr:uid="{14EA78B5-69FC-40F7-9BE4-1469F605E8F9}">
  <cacheSource type="worksheet">
    <worksheetSource name="Table1"/>
  </cacheSource>
  <cacheFields count="12">
    <cacheField name="Customer_ID" numFmtId="0">
      <sharedItems count="31">
        <s v="Table1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19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Total Spending" numFmtId="164">
      <sharedItems containsSemiMixedTypes="0" containsString="0" containsNumber="1" minValue="1036.0899999999999" maxValue="11611.060000000001"/>
    </cacheField>
    <cacheField name="Time Stamp" numFmtId="22">
      <sharedItems containsSemiMixedTypes="0" containsNonDate="0" containsDate="1" containsString="0" minDate="2026-03-30T15:38:08" maxDate="2026-03-30T15:38:08"/>
    </cacheField>
    <cacheField name="Order_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James Davis"/>
    <x v="0"/>
    <x v="0"/>
    <n v="1036.0899999999999"/>
    <n v="4"/>
    <n v="0.2"/>
    <d v="2024-04-10T00:00:00"/>
    <n v="331.55"/>
    <n v="1036.0899999999999"/>
    <d v="2026-03-30T15:38:08"/>
    <x v="0"/>
  </r>
  <r>
    <x v="1"/>
    <s v="Robert Anderson"/>
    <x v="0"/>
    <x v="1"/>
    <n v="1101.28"/>
    <n v="3"/>
    <n v="0.2"/>
    <d v="2024-04-11T00:00:00"/>
    <n v="440.51"/>
    <n v="8339"/>
    <d v="2026-03-30T15:38:08"/>
    <x v="0"/>
  </r>
  <r>
    <x v="2"/>
    <s v="James Taylor"/>
    <x v="1"/>
    <x v="0"/>
    <n v="713.34"/>
    <n v="17"/>
    <n v="0"/>
    <d v="2024-04-14T00:00:00"/>
    <n v="285.33999999999997"/>
    <n v="3419.2"/>
    <d v="2026-03-30T15:38:08"/>
    <x v="0"/>
  </r>
  <r>
    <x v="3"/>
    <s v="Robert Anderson"/>
    <x v="2"/>
    <x v="2"/>
    <n v="760.93"/>
    <n v="4"/>
    <n v="0.15"/>
    <d v="2024-04-14T00:00:00"/>
    <n v="161.69999999999999"/>
    <n v="6666.130000000001"/>
    <d v="2026-03-30T15:38:08"/>
    <x v="0"/>
  </r>
  <r>
    <x v="4"/>
    <s v="James Wilson"/>
    <x v="3"/>
    <x v="0"/>
    <n v="847"/>
    <n v="12"/>
    <n v="0.2"/>
    <d v="2024-04-15T00:00:00"/>
    <n v="271.04000000000002"/>
    <n v="7928.71"/>
    <d v="2026-03-30T15:38:08"/>
    <x v="0"/>
  </r>
  <r>
    <x v="5"/>
    <s v="Michael Anderson"/>
    <x v="3"/>
    <x v="3"/>
    <n v="965.64"/>
    <n v="8"/>
    <n v="0.1"/>
    <d v="2024-04-16T00:00:00"/>
    <n v="304.18"/>
    <n v="9941.8799999999992"/>
    <d v="2026-03-30T15:38:08"/>
    <x v="0"/>
  </r>
  <r>
    <x v="6"/>
    <s v="Linda Wilson"/>
    <x v="0"/>
    <x v="2"/>
    <n v="1317.53"/>
    <n v="12"/>
    <n v="0.05"/>
    <d v="2024-04-16T00:00:00"/>
    <n v="312.91000000000003"/>
    <n v="6549.55"/>
    <d v="2026-03-30T15:38:08"/>
    <x v="0"/>
  </r>
  <r>
    <x v="7"/>
    <s v="Mary Davis"/>
    <x v="1"/>
    <x v="3"/>
    <n v="1074.47"/>
    <n v="6"/>
    <n v="0.2"/>
    <d v="2024-04-19T00:00:00"/>
    <n v="300.85000000000002"/>
    <n v="9371.81"/>
    <d v="2026-03-30T15:38:08"/>
    <x v="0"/>
  </r>
  <r>
    <x v="8"/>
    <s v="Linda Jackson"/>
    <x v="4"/>
    <x v="0"/>
    <n v="501.54"/>
    <n v="11"/>
    <n v="0.05"/>
    <d v="2024-04-19T00:00:00"/>
    <n v="190.59"/>
    <n v="6505.2"/>
    <d v="2026-03-30T15:38:08"/>
    <x v="0"/>
  </r>
  <r>
    <x v="9"/>
    <s v="David Thomas"/>
    <x v="4"/>
    <x v="1"/>
    <n v="737.31"/>
    <n v="2"/>
    <n v="0.05"/>
    <d v="2024-04-19T00:00:00"/>
    <n v="350.22"/>
    <n v="4259.22"/>
    <d v="2026-03-30T15:38:08"/>
    <x v="0"/>
  </r>
  <r>
    <x v="10"/>
    <s v="Emma Davis"/>
    <x v="0"/>
    <x v="4"/>
    <n v="1572.82"/>
    <n v="6"/>
    <n v="0.05"/>
    <d v="2024-04-20T00:00:00"/>
    <n v="672.38"/>
    <n v="6729.8899999999994"/>
    <d v="2026-03-30T15:38:08"/>
    <x v="0"/>
  </r>
  <r>
    <x v="10"/>
    <s v="David Thomas"/>
    <x v="4"/>
    <x v="0"/>
    <n v="1343.13"/>
    <n v="14"/>
    <n v="0.15"/>
    <d v="2024-04-22T00:00:00"/>
    <n v="456.66"/>
    <n v="6729.8899999999994"/>
    <d v="2026-03-30T15:38:08"/>
    <x v="0"/>
  </r>
  <r>
    <x v="5"/>
    <s v="Michael Anderson"/>
    <x v="4"/>
    <x v="0"/>
    <n v="1191.58"/>
    <n v="14"/>
    <n v="0.05"/>
    <d v="2024-04-24T00:00:00"/>
    <n v="452.8"/>
    <n v="9941.8799999999992"/>
    <d v="2026-03-30T15:38:08"/>
    <x v="0"/>
  </r>
  <r>
    <x v="11"/>
    <s v="Robert Anderson"/>
    <x v="0"/>
    <x v="3"/>
    <n v="822.28"/>
    <n v="7"/>
    <n v="0.05"/>
    <d v="2024-04-24T00:00:00"/>
    <n v="273.41000000000003"/>
    <n v="5913.68"/>
    <d v="2026-03-30T15:38:08"/>
    <x v="0"/>
  </r>
  <r>
    <x v="12"/>
    <s v="David Smith"/>
    <x v="3"/>
    <x v="3"/>
    <n v="521.66999999999996"/>
    <n v="15"/>
    <n v="0.15"/>
    <d v="2024-04-27T00:00:00"/>
    <n v="155.19999999999999"/>
    <n v="5779.05"/>
    <d v="2026-03-30T15:38:08"/>
    <x v="0"/>
  </r>
  <r>
    <x v="3"/>
    <s v="Sarah Anderson"/>
    <x v="2"/>
    <x v="2"/>
    <n v="1502.93"/>
    <n v="14"/>
    <n v="0.2"/>
    <d v="2024-04-28T00:00:00"/>
    <n v="300.58999999999997"/>
    <n v="6666.130000000001"/>
    <d v="2026-03-30T15:38:08"/>
    <x v="0"/>
  </r>
  <r>
    <x v="13"/>
    <s v="Robert Anderson"/>
    <x v="2"/>
    <x v="0"/>
    <n v="877.58"/>
    <n v="10"/>
    <n v="0.15"/>
    <d v="2024-04-29T00:00:00"/>
    <n v="298.38"/>
    <n v="9760.7999999999993"/>
    <d v="2026-03-30T15:38:08"/>
    <x v="0"/>
  </r>
  <r>
    <x v="6"/>
    <s v="Lisa Thomas"/>
    <x v="0"/>
    <x v="0"/>
    <n v="636.70000000000005"/>
    <n v="4"/>
    <n v="0.2"/>
    <d v="2024-04-29T00:00:00"/>
    <n v="203.74"/>
    <n v="6549.55"/>
    <d v="2026-03-30T15:38:08"/>
    <x v="0"/>
  </r>
  <r>
    <x v="14"/>
    <s v="Mary Jackson"/>
    <x v="0"/>
    <x v="0"/>
    <n v="1506.14"/>
    <n v="13"/>
    <n v="0.2"/>
    <d v="2024-04-30T00:00:00"/>
    <n v="481.96"/>
    <n v="2699.75"/>
    <d v="2026-03-30T15:38:08"/>
    <x v="0"/>
  </r>
  <r>
    <x v="7"/>
    <s v="Mary Davis"/>
    <x v="4"/>
    <x v="2"/>
    <n v="645.02"/>
    <n v="4"/>
    <n v="0"/>
    <d v="2024-05-02T00:00:00"/>
    <n v="161.26"/>
    <n v="9371.81"/>
    <d v="2026-03-30T15:38:08"/>
    <x v="1"/>
  </r>
  <r>
    <x v="5"/>
    <s v="Lisa Davis"/>
    <x v="2"/>
    <x v="1"/>
    <n v="953.3"/>
    <n v="11"/>
    <n v="0"/>
    <d v="2024-05-03T00:00:00"/>
    <n v="476.65"/>
    <n v="9941.8799999999992"/>
    <d v="2026-03-30T15:38:08"/>
    <x v="1"/>
  </r>
  <r>
    <x v="15"/>
    <s v="Robert Anderson"/>
    <x v="3"/>
    <x v="2"/>
    <n v="388.56"/>
    <n v="14"/>
    <n v="0.15"/>
    <d v="2024-05-04T00:00:00"/>
    <n v="82.57"/>
    <n v="4418.2800000000007"/>
    <d v="2026-03-30T15:38:08"/>
    <x v="1"/>
  </r>
  <r>
    <x v="16"/>
    <s v="Mary Davis"/>
    <x v="0"/>
    <x v="0"/>
    <n v="743.17"/>
    <n v="9"/>
    <n v="0"/>
    <d v="2024-05-04T00:00:00"/>
    <n v="297.27"/>
    <n v="3604.02"/>
    <d v="2026-03-30T15:38:08"/>
    <x v="1"/>
  </r>
  <r>
    <x v="11"/>
    <s v="Mary Davis"/>
    <x v="4"/>
    <x v="2"/>
    <n v="706.37"/>
    <n v="6"/>
    <n v="0"/>
    <d v="2024-05-04T00:00:00"/>
    <n v="176.59"/>
    <n v="5913.68"/>
    <d v="2026-03-30T15:38:08"/>
    <x v="1"/>
  </r>
  <r>
    <x v="1"/>
    <s v="Mary Davis"/>
    <x v="4"/>
    <x v="4"/>
    <n v="925.31"/>
    <n v="8"/>
    <n v="0.1"/>
    <d v="2024-05-06T00:00:00"/>
    <n v="374.75"/>
    <n v="8339"/>
    <d v="2026-03-30T15:38:08"/>
    <x v="1"/>
  </r>
  <r>
    <x v="9"/>
    <s v="Linda Brown"/>
    <x v="2"/>
    <x v="2"/>
    <n v="1173.1199999999999"/>
    <n v="18"/>
    <n v="0"/>
    <d v="2024-05-06T00:00:00"/>
    <n v="293.27999999999997"/>
    <n v="4259.22"/>
    <d v="2026-03-30T15:38:08"/>
    <x v="1"/>
  </r>
  <r>
    <x v="4"/>
    <s v="John Brown"/>
    <x v="3"/>
    <x v="3"/>
    <n v="675.54"/>
    <n v="17"/>
    <n v="0"/>
    <d v="2024-05-08T00:00:00"/>
    <n v="236.44"/>
    <n v="7928.71"/>
    <d v="2026-03-30T15:38:08"/>
    <x v="1"/>
  </r>
  <r>
    <x v="5"/>
    <s v="Robert Anderson"/>
    <x v="4"/>
    <x v="0"/>
    <n v="939.09"/>
    <n v="2"/>
    <n v="0.05"/>
    <d v="2024-05-10T00:00:00"/>
    <n v="356.85"/>
    <n v="9941.8799999999992"/>
    <d v="2026-03-30T15:38:08"/>
    <x v="1"/>
  </r>
  <r>
    <x v="17"/>
    <s v="Linda Taylor"/>
    <x v="1"/>
    <x v="4"/>
    <n v="983.34"/>
    <n v="19"/>
    <n v="0.1"/>
    <d v="2024-05-14T00:00:00"/>
    <n v="398.25"/>
    <n v="10293.870000000001"/>
    <d v="2026-03-30T15:38:08"/>
    <x v="1"/>
  </r>
  <r>
    <x v="17"/>
    <s v="James Wilson"/>
    <x v="2"/>
    <x v="2"/>
    <n v="801.21"/>
    <n v="3"/>
    <n v="0.2"/>
    <d v="2024-05-14T00:00:00"/>
    <n v="160.24"/>
    <n v="10293.870000000001"/>
    <d v="2026-03-30T15:38:08"/>
    <x v="1"/>
  </r>
  <r>
    <x v="18"/>
    <s v="David Brown"/>
    <x v="3"/>
    <x v="2"/>
    <n v="1450.71"/>
    <n v="5"/>
    <n v="0.1"/>
    <d v="2024-05-15T00:00:00"/>
    <n v="326.41000000000003"/>
    <n v="6716.52"/>
    <d v="2026-03-30T15:38:08"/>
    <x v="1"/>
  </r>
  <r>
    <x v="15"/>
    <s v="David Davis"/>
    <x v="4"/>
    <x v="0"/>
    <n v="1023.21"/>
    <n v="18"/>
    <n v="0.05"/>
    <d v="2024-05-16T00:00:00"/>
    <n v="388.82"/>
    <n v="4418.2800000000007"/>
    <d v="2026-03-30T15:38:08"/>
    <x v="1"/>
  </r>
  <r>
    <x v="6"/>
    <s v="Mary Jackson"/>
    <x v="0"/>
    <x v="3"/>
    <n v="853.72"/>
    <n v="5"/>
    <n v="0.15"/>
    <d v="2024-05-16T00:00:00"/>
    <n v="253.98"/>
    <n v="6549.55"/>
    <d v="2026-03-30T15:38:08"/>
    <x v="1"/>
  </r>
  <r>
    <x v="19"/>
    <s v="Sarah Anderson"/>
    <x v="2"/>
    <x v="2"/>
    <n v="967.89"/>
    <n v="10"/>
    <n v="0.1"/>
    <d v="2024-05-17T00:00:00"/>
    <n v="217.78"/>
    <n v="8740.18"/>
    <d v="2026-03-30T15:38:08"/>
    <x v="1"/>
  </r>
  <r>
    <x v="20"/>
    <s v="Linda Taylor"/>
    <x v="3"/>
    <x v="4"/>
    <n v="1200.9000000000001"/>
    <n v="14"/>
    <n v="0.05"/>
    <d v="2024-05-17T00:00:00"/>
    <n v="513.38"/>
    <n v="11611.060000000001"/>
    <d v="2026-03-30T15:38:08"/>
    <x v="1"/>
  </r>
  <r>
    <x v="1"/>
    <s v="Michael Anderson"/>
    <x v="0"/>
    <x v="0"/>
    <n v="472.38"/>
    <n v="12"/>
    <n v="0.2"/>
    <d v="2024-05-17T00:00:00"/>
    <n v="151.16"/>
    <n v="8339"/>
    <d v="2026-03-30T15:38:08"/>
    <x v="1"/>
  </r>
  <r>
    <x v="16"/>
    <s v="David Brown"/>
    <x v="1"/>
    <x v="4"/>
    <n v="840.92"/>
    <n v="9"/>
    <n v="0.05"/>
    <d v="2024-05-17T00:00:00"/>
    <n v="359.49"/>
    <n v="3604.02"/>
    <d v="2026-03-30T15:38:08"/>
    <x v="1"/>
  </r>
  <r>
    <x v="17"/>
    <s v="Lisa Davis"/>
    <x v="4"/>
    <x v="3"/>
    <n v="1410.06"/>
    <n v="11"/>
    <n v="0.05"/>
    <d v="2024-05-22T00:00:00"/>
    <n v="468.84"/>
    <n v="10293.870000000001"/>
    <d v="2026-03-30T15:38:08"/>
    <x v="1"/>
  </r>
  <r>
    <x v="13"/>
    <s v="Mary Wilson"/>
    <x v="4"/>
    <x v="3"/>
    <n v="773.09"/>
    <n v="13"/>
    <n v="0.15"/>
    <d v="2024-05-22T00:00:00"/>
    <n v="229.99"/>
    <n v="9760.7999999999993"/>
    <d v="2026-03-30T15:38:08"/>
    <x v="1"/>
  </r>
  <r>
    <x v="21"/>
    <s v="Emma Wilson"/>
    <x v="1"/>
    <x v="0"/>
    <n v="580.42999999999995"/>
    <n v="19"/>
    <n v="0.15"/>
    <d v="2024-05-23T00:00:00"/>
    <n v="197.35"/>
    <n v="3369.17"/>
    <d v="2026-03-30T15:38:08"/>
    <x v="1"/>
  </r>
  <r>
    <x v="3"/>
    <s v="David Smith"/>
    <x v="2"/>
    <x v="0"/>
    <n v="1151.21"/>
    <n v="15"/>
    <n v="0.1"/>
    <d v="2024-06-02T00:00:00"/>
    <n v="414.44"/>
    <n v="6666.130000000001"/>
    <d v="2026-03-30T15:38:08"/>
    <x v="2"/>
  </r>
  <r>
    <x v="17"/>
    <s v="James Wilson"/>
    <x v="4"/>
    <x v="4"/>
    <n v="1025.98"/>
    <n v="5"/>
    <n v="0.2"/>
    <d v="2024-06-04T00:00:00"/>
    <n v="369.35"/>
    <n v="10293.870000000001"/>
    <d v="2026-03-30T15:38:08"/>
    <x v="2"/>
  </r>
  <r>
    <x v="11"/>
    <s v="David Davis"/>
    <x v="1"/>
    <x v="4"/>
    <n v="556.41999999999996"/>
    <n v="11"/>
    <n v="0.15"/>
    <d v="2024-06-04T00:00:00"/>
    <n v="212.83"/>
    <n v="5913.68"/>
    <d v="2026-03-30T15:38:08"/>
    <x v="2"/>
  </r>
  <r>
    <x v="19"/>
    <s v="James Wilson"/>
    <x v="4"/>
    <x v="0"/>
    <n v="840.85"/>
    <n v="19"/>
    <n v="0.1"/>
    <d v="2024-06-05T00:00:00"/>
    <n v="302.70999999999998"/>
    <n v="8740.18"/>
    <d v="2026-03-30T15:38:08"/>
    <x v="2"/>
  </r>
  <r>
    <x v="7"/>
    <s v="Emma Wilson"/>
    <x v="3"/>
    <x v="3"/>
    <n v="1227.25"/>
    <n v="12"/>
    <n v="0.15"/>
    <d v="2024-06-05T00:00:00"/>
    <n v="365.11"/>
    <n v="9371.81"/>
    <d v="2026-03-30T15:38:08"/>
    <x v="2"/>
  </r>
  <r>
    <x v="2"/>
    <s v="Linda Davis"/>
    <x v="4"/>
    <x v="2"/>
    <n v="856.7"/>
    <n v="2"/>
    <n v="0"/>
    <d v="2024-06-06T00:00:00"/>
    <n v="214.18"/>
    <n v="3419.2"/>
    <d v="2026-03-30T15:38:08"/>
    <x v="2"/>
  </r>
  <r>
    <x v="18"/>
    <s v="David Davis"/>
    <x v="4"/>
    <x v="4"/>
    <n v="1225.42"/>
    <n v="8"/>
    <n v="0.15"/>
    <d v="2024-06-06T00:00:00"/>
    <n v="468.72"/>
    <n v="6716.52"/>
    <d v="2026-03-30T15:38:08"/>
    <x v="2"/>
  </r>
  <r>
    <x v="22"/>
    <s v="Mary Davis"/>
    <x v="3"/>
    <x v="4"/>
    <n v="1001.57"/>
    <n v="12"/>
    <n v="0"/>
    <d v="2024-06-07T00:00:00"/>
    <n v="450.71"/>
    <n v="3762.2900000000004"/>
    <d v="2026-03-30T15:38:08"/>
    <x v="2"/>
  </r>
  <r>
    <x v="19"/>
    <s v="Michael Anderson"/>
    <x v="1"/>
    <x v="3"/>
    <n v="1186.8499999999999"/>
    <n v="19"/>
    <n v="0.2"/>
    <d v="2024-06-08T00:00:00"/>
    <n v="332.32"/>
    <n v="8740.18"/>
    <d v="2026-03-30T15:38:08"/>
    <x v="2"/>
  </r>
  <r>
    <x v="13"/>
    <s v="John Brown"/>
    <x v="2"/>
    <x v="2"/>
    <n v="775.45"/>
    <n v="6"/>
    <n v="0.1"/>
    <d v="2024-06-14T00:00:00"/>
    <n v="174.48"/>
    <n v="9760.7999999999993"/>
    <d v="2026-03-30T15:38:08"/>
    <x v="2"/>
  </r>
  <r>
    <x v="5"/>
    <s v="Linda Jackson"/>
    <x v="2"/>
    <x v="2"/>
    <n v="1021.47"/>
    <n v="6"/>
    <n v="0.05"/>
    <d v="2024-06-18T00:00:00"/>
    <n v="242.6"/>
    <n v="9941.8799999999992"/>
    <d v="2026-03-30T15:38:08"/>
    <x v="2"/>
  </r>
  <r>
    <x v="20"/>
    <s v="James Wilson"/>
    <x v="2"/>
    <x v="1"/>
    <n v="1226.6199999999999"/>
    <n v="7"/>
    <n v="0.1"/>
    <d v="2024-06-20T00:00:00"/>
    <n v="551.98"/>
    <n v="11611.060000000001"/>
    <d v="2026-03-30T15:38:08"/>
    <x v="2"/>
  </r>
  <r>
    <x v="4"/>
    <s v="Sarah Davis"/>
    <x v="2"/>
    <x v="3"/>
    <n v="1086.93"/>
    <n v="2"/>
    <n v="0"/>
    <d v="2024-06-21T00:00:00"/>
    <n v="380.43"/>
    <n v="7928.71"/>
    <d v="2026-03-30T15:38:08"/>
    <x v="2"/>
  </r>
  <r>
    <x v="23"/>
    <s v="Lisa Davis"/>
    <x v="0"/>
    <x v="0"/>
    <n v="942.9"/>
    <n v="18"/>
    <n v="0.1"/>
    <d v="2024-06-23T00:00:00"/>
    <n v="339.44"/>
    <n v="6481.43"/>
    <d v="2026-03-30T15:38:08"/>
    <x v="2"/>
  </r>
  <r>
    <x v="8"/>
    <s v="Emma Davis"/>
    <x v="3"/>
    <x v="2"/>
    <n v="818.8"/>
    <n v="15"/>
    <n v="0.15"/>
    <d v="2024-06-25T00:00:00"/>
    <n v="173.99"/>
    <n v="6505.2"/>
    <d v="2026-03-30T15:38:08"/>
    <x v="2"/>
  </r>
  <r>
    <x v="3"/>
    <s v="Robert Anderson"/>
    <x v="2"/>
    <x v="3"/>
    <n v="919.04"/>
    <n v="10"/>
    <n v="0.2"/>
    <d v="2024-06-25T00:00:00"/>
    <n v="257.33"/>
    <n v="6666.130000000001"/>
    <d v="2026-03-30T15:38:08"/>
    <x v="2"/>
  </r>
  <r>
    <x v="4"/>
    <s v="Emma Taylor"/>
    <x v="4"/>
    <x v="0"/>
    <n v="973.26"/>
    <n v="11"/>
    <n v="0"/>
    <d v="2024-06-27T00:00:00"/>
    <n v="389.3"/>
    <n v="7928.71"/>
    <d v="2026-03-30T15:38:08"/>
    <x v="2"/>
  </r>
  <r>
    <x v="12"/>
    <s v="Sarah Davis"/>
    <x v="3"/>
    <x v="2"/>
    <n v="741.61"/>
    <n v="1"/>
    <n v="0.2"/>
    <d v="2024-06-28T00:00:00"/>
    <n v="148.32"/>
    <n v="5779.05"/>
    <d v="2026-03-30T15:38:08"/>
    <x v="2"/>
  </r>
  <r>
    <x v="24"/>
    <s v="Emma Davis"/>
    <x v="3"/>
    <x v="0"/>
    <n v="1248.82"/>
    <n v="2"/>
    <n v="0.1"/>
    <d v="2024-06-30T00:00:00"/>
    <n v="449.58"/>
    <n v="8490.18"/>
    <d v="2026-03-30T15:38:08"/>
    <x v="2"/>
  </r>
  <r>
    <x v="1"/>
    <s v="Mary Wilson"/>
    <x v="0"/>
    <x v="1"/>
    <n v="1360.36"/>
    <n v="17"/>
    <n v="0"/>
    <d v="2024-06-30T00:00:00"/>
    <n v="680.18"/>
    <n v="8339"/>
    <d v="2026-03-30T15:38:08"/>
    <x v="2"/>
  </r>
  <r>
    <x v="19"/>
    <s v="Mary Davis"/>
    <x v="1"/>
    <x v="0"/>
    <n v="1383.3"/>
    <n v="8"/>
    <n v="0.1"/>
    <d v="2024-07-05T00:00:00"/>
    <n v="497.99"/>
    <n v="8740.18"/>
    <d v="2026-03-30T15:38:08"/>
    <x v="3"/>
  </r>
  <r>
    <x v="9"/>
    <s v="David Brown"/>
    <x v="4"/>
    <x v="4"/>
    <n v="488.99"/>
    <n v="9"/>
    <n v="0"/>
    <d v="2024-07-06T00:00:00"/>
    <n v="220.05"/>
    <n v="4259.22"/>
    <d v="2026-03-30T15:38:08"/>
    <x v="3"/>
  </r>
  <r>
    <x v="7"/>
    <s v="Mary Davis"/>
    <x v="1"/>
    <x v="3"/>
    <n v="933.71"/>
    <n v="17"/>
    <n v="0.1"/>
    <d v="2024-07-08T00:00:00"/>
    <n v="294.12"/>
    <n v="9371.81"/>
    <d v="2026-03-30T15:38:08"/>
    <x v="3"/>
  </r>
  <r>
    <x v="24"/>
    <s v="James Davis"/>
    <x v="0"/>
    <x v="2"/>
    <n v="1005.53"/>
    <n v="17"/>
    <n v="0.2"/>
    <d v="2024-07-08T00:00:00"/>
    <n v="201.11"/>
    <n v="8490.18"/>
    <d v="2026-03-30T15:38:08"/>
    <x v="3"/>
  </r>
  <r>
    <x v="12"/>
    <s v="Emma Wilson"/>
    <x v="2"/>
    <x v="2"/>
    <n v="1100.0999999999999"/>
    <n v="5"/>
    <n v="0.05"/>
    <d v="2024-07-09T00:00:00"/>
    <n v="261.27"/>
    <n v="5779.05"/>
    <d v="2026-03-30T15:38:08"/>
    <x v="3"/>
  </r>
  <r>
    <x v="24"/>
    <s v="James Wilson"/>
    <x v="3"/>
    <x v="3"/>
    <n v="1034.7"/>
    <n v="15"/>
    <n v="0.15"/>
    <d v="2024-07-14T00:00:00"/>
    <n v="307.82"/>
    <n v="8490.18"/>
    <d v="2026-03-30T15:38:08"/>
    <x v="3"/>
  </r>
  <r>
    <x v="23"/>
    <s v="Mary Davis"/>
    <x v="2"/>
    <x v="0"/>
    <n v="876.44"/>
    <n v="12"/>
    <n v="0.05"/>
    <d v="2024-07-15T00:00:00"/>
    <n v="333.05"/>
    <n v="6481.43"/>
    <d v="2026-03-30T15:38:08"/>
    <x v="3"/>
  </r>
  <r>
    <x v="25"/>
    <s v="David Brown"/>
    <x v="0"/>
    <x v="3"/>
    <n v="1371.34"/>
    <n v="5"/>
    <n v="0.05"/>
    <d v="2024-07-15T00:00:00"/>
    <n v="455.97"/>
    <n v="4413.71"/>
    <d v="2026-03-30T15:38:08"/>
    <x v="3"/>
  </r>
  <r>
    <x v="19"/>
    <s v="Mary Jackson"/>
    <x v="3"/>
    <x v="2"/>
    <n v="1020.26"/>
    <n v="11"/>
    <n v="0.05"/>
    <d v="2024-07-21T00:00:00"/>
    <n v="242.31"/>
    <n v="8740.18"/>
    <d v="2026-03-30T15:38:08"/>
    <x v="3"/>
  </r>
  <r>
    <x v="13"/>
    <s v="James Davis"/>
    <x v="4"/>
    <x v="4"/>
    <n v="804.81"/>
    <n v="1"/>
    <n v="0.05"/>
    <d v="2024-07-29T00:00:00"/>
    <n v="344.06"/>
    <n v="9760.7999999999993"/>
    <d v="2026-03-30T15:38:08"/>
    <x v="3"/>
  </r>
  <r>
    <x v="4"/>
    <s v="David Brown"/>
    <x v="4"/>
    <x v="2"/>
    <n v="608.66"/>
    <n v="1"/>
    <n v="0.05"/>
    <d v="2024-07-30T00:00:00"/>
    <n v="144.56"/>
    <n v="7928.71"/>
    <d v="2026-03-30T15:38:08"/>
    <x v="3"/>
  </r>
  <r>
    <x v="25"/>
    <s v="Linda Moore"/>
    <x v="2"/>
    <x v="4"/>
    <n v="981.2"/>
    <n v="19"/>
    <n v="0"/>
    <d v="2024-07-31T00:00:00"/>
    <n v="441.54"/>
    <n v="4413.71"/>
    <d v="2026-03-30T15:38:08"/>
    <x v="3"/>
  </r>
  <r>
    <x v="26"/>
    <s v="David Brown"/>
    <x v="1"/>
    <x v="2"/>
    <n v="539.77"/>
    <n v="10"/>
    <n v="0.15"/>
    <d v="2024-08-05T00:00:00"/>
    <n v="114.7"/>
    <n v="7583.1299999999992"/>
    <d v="2026-03-30T15:38:08"/>
    <x v="4"/>
  </r>
  <r>
    <x v="1"/>
    <s v="David Anderson"/>
    <x v="2"/>
    <x v="0"/>
    <n v="804.45"/>
    <n v="5"/>
    <n v="0.2"/>
    <d v="2024-08-05T00:00:00"/>
    <n v="257.42"/>
    <n v="8339"/>
    <d v="2026-03-30T15:38:08"/>
    <x v="4"/>
  </r>
  <r>
    <x v="26"/>
    <s v="Emma Davis"/>
    <x v="0"/>
    <x v="2"/>
    <n v="1526.6"/>
    <n v="13"/>
    <n v="0.2"/>
    <d v="2024-08-08T00:00:00"/>
    <n v="305.32"/>
    <n v="7583.1299999999992"/>
    <d v="2026-03-30T15:38:08"/>
    <x v="4"/>
  </r>
  <r>
    <x v="1"/>
    <s v="Linda Wilson"/>
    <x v="0"/>
    <x v="2"/>
    <n v="1215.26"/>
    <n v="5"/>
    <n v="0.15"/>
    <d v="2024-08-09T00:00:00"/>
    <n v="258.24"/>
    <n v="8339"/>
    <d v="2026-03-30T15:38:08"/>
    <x v="4"/>
  </r>
  <r>
    <x v="3"/>
    <s v="Linda Taylor"/>
    <x v="4"/>
    <x v="3"/>
    <n v="1261.3399999999999"/>
    <n v="3"/>
    <n v="0"/>
    <d v="2024-08-15T00:00:00"/>
    <n v="441.47"/>
    <n v="6666.130000000001"/>
    <d v="2026-03-30T15:38:08"/>
    <x v="4"/>
  </r>
  <r>
    <x v="27"/>
    <s v="Lisa Thomas"/>
    <x v="3"/>
    <x v="3"/>
    <n v="518.07000000000005"/>
    <n v="7"/>
    <n v="0.05"/>
    <d v="2024-08-18T00:00:00"/>
    <n v="172.26"/>
    <n v="7813.59"/>
    <d v="2026-03-30T15:38:08"/>
    <x v="4"/>
  </r>
  <r>
    <x v="7"/>
    <s v="Linda Wilson"/>
    <x v="0"/>
    <x v="4"/>
    <n v="1111.3399999999999"/>
    <n v="1"/>
    <n v="0"/>
    <d v="2024-08-19T00:00:00"/>
    <n v="500.1"/>
    <n v="9371.81"/>
    <d v="2026-03-30T15:38:08"/>
    <x v="4"/>
  </r>
  <r>
    <x v="4"/>
    <s v="Mary Davis"/>
    <x v="1"/>
    <x v="1"/>
    <n v="1291.47"/>
    <n v="18"/>
    <n v="0.1"/>
    <d v="2024-08-22T00:00:00"/>
    <n v="581.16"/>
    <n v="7928.71"/>
    <d v="2026-03-30T15:38:08"/>
    <x v="4"/>
  </r>
  <r>
    <x v="5"/>
    <s v="David Brown"/>
    <x v="3"/>
    <x v="0"/>
    <n v="679.71"/>
    <n v="19"/>
    <n v="0"/>
    <d v="2024-08-30T00:00:00"/>
    <n v="271.88"/>
    <n v="9941.8799999999992"/>
    <d v="2026-03-30T15:38:08"/>
    <x v="4"/>
  </r>
  <r>
    <x v="25"/>
    <s v="Linda Jackson"/>
    <x v="1"/>
    <x v="3"/>
    <n v="1143.69"/>
    <n v="17"/>
    <n v="0"/>
    <d v="2024-08-30T00:00:00"/>
    <n v="400.29"/>
    <n v="4413.71"/>
    <d v="2026-03-30T15:38:08"/>
    <x v="4"/>
  </r>
  <r>
    <x v="17"/>
    <s v="Linda Brown"/>
    <x v="4"/>
    <x v="2"/>
    <n v="790.08"/>
    <n v="7"/>
    <n v="0.1"/>
    <d v="2024-09-01T00:00:00"/>
    <n v="177.77"/>
    <n v="10293.870000000001"/>
    <d v="2026-03-30T15:38:08"/>
    <x v="5"/>
  </r>
  <r>
    <x v="3"/>
    <s v="Lisa Davis"/>
    <x v="4"/>
    <x v="0"/>
    <n v="1070.68"/>
    <n v="7"/>
    <n v="0.05"/>
    <d v="2024-09-01T00:00:00"/>
    <n v="406.86"/>
    <n v="6666.130000000001"/>
    <d v="2026-03-30T15:38:08"/>
    <x v="5"/>
  </r>
  <r>
    <x v="20"/>
    <s v="David Thomas"/>
    <x v="0"/>
    <x v="1"/>
    <n v="1168.8900000000001"/>
    <n v="4"/>
    <n v="0.1"/>
    <d v="2024-09-09T00:00:00"/>
    <n v="526"/>
    <n v="11611.060000000001"/>
    <d v="2026-03-30T15:38:08"/>
    <x v="5"/>
  </r>
  <r>
    <x v="24"/>
    <s v="James Davis"/>
    <x v="2"/>
    <x v="2"/>
    <n v="1335.87"/>
    <n v="17"/>
    <n v="0"/>
    <d v="2024-09-09T00:00:00"/>
    <n v="333.97"/>
    <n v="8490.18"/>
    <d v="2026-03-30T15:38:08"/>
    <x v="5"/>
  </r>
  <r>
    <x v="11"/>
    <s v="David Brown"/>
    <x v="1"/>
    <x v="3"/>
    <n v="873.7"/>
    <n v="9"/>
    <n v="0"/>
    <d v="2024-09-11T00:00:00"/>
    <n v="305.8"/>
    <n v="5913.68"/>
    <d v="2026-03-30T15:38:08"/>
    <x v="5"/>
  </r>
  <r>
    <x v="27"/>
    <s v="Sarah Davis"/>
    <x v="0"/>
    <x v="4"/>
    <n v="1443.98"/>
    <n v="19"/>
    <n v="0"/>
    <d v="2024-09-12T00:00:00"/>
    <n v="649.79"/>
    <n v="7813.59"/>
    <d v="2026-03-30T15:38:08"/>
    <x v="5"/>
  </r>
  <r>
    <x v="11"/>
    <s v="James Wilson"/>
    <x v="1"/>
    <x v="4"/>
    <n v="1154.33"/>
    <n v="11"/>
    <n v="0.15"/>
    <d v="2024-09-14T00:00:00"/>
    <n v="441.53"/>
    <n v="5913.68"/>
    <d v="2026-03-30T15:38:08"/>
    <x v="5"/>
  </r>
  <r>
    <x v="15"/>
    <s v="Linda Brown"/>
    <x v="2"/>
    <x v="0"/>
    <n v="1264.49"/>
    <n v="16"/>
    <n v="0.05"/>
    <d v="2024-09-14T00:00:00"/>
    <n v="480.51"/>
    <n v="4418.2800000000007"/>
    <d v="2026-03-30T15:38:08"/>
    <x v="5"/>
  </r>
  <r>
    <x v="5"/>
    <s v="Emma Taylor"/>
    <x v="0"/>
    <x v="3"/>
    <n v="1101.55"/>
    <n v="4"/>
    <n v="0.1"/>
    <d v="2024-09-16T00:00:00"/>
    <n v="346.99"/>
    <n v="9941.8799999999992"/>
    <d v="2026-03-30T15:38:08"/>
    <x v="5"/>
  </r>
  <r>
    <x v="28"/>
    <s v="Robert Anderson"/>
    <x v="2"/>
    <x v="3"/>
    <n v="727.73"/>
    <n v="1"/>
    <n v="0.1"/>
    <d v="2024-09-17T00:00:00"/>
    <n v="229.23"/>
    <n v="4162.4400000000005"/>
    <d v="2026-03-30T15:38:08"/>
    <x v="5"/>
  </r>
  <r>
    <x v="29"/>
    <s v="Emma Davis"/>
    <x v="1"/>
    <x v="4"/>
    <n v="875.41"/>
    <n v="13"/>
    <n v="0.15"/>
    <d v="2024-09-17T00:00:00"/>
    <n v="334.84"/>
    <n v="3906.04"/>
    <d v="2026-03-30T15:38:08"/>
    <x v="5"/>
  </r>
  <r>
    <x v="24"/>
    <s v="James Wilson"/>
    <x v="0"/>
    <x v="2"/>
    <n v="1158.94"/>
    <n v="19"/>
    <n v="0.2"/>
    <d v="2024-09-18T00:00:00"/>
    <n v="231.79"/>
    <n v="8490.18"/>
    <d v="2026-03-30T15:38:08"/>
    <x v="5"/>
  </r>
  <r>
    <x v="30"/>
    <s v="Mary Jackson"/>
    <x v="2"/>
    <x v="0"/>
    <n v="966.3"/>
    <n v="2"/>
    <n v="0.15"/>
    <d v="2024-09-22T00:00:00"/>
    <n v="328.54"/>
    <n v="4951.8899999999994"/>
    <d v="2026-03-30T15:38:08"/>
    <x v="5"/>
  </r>
  <r>
    <x v="25"/>
    <s v="James Taylor"/>
    <x v="2"/>
    <x v="0"/>
    <n v="917.48"/>
    <n v="6"/>
    <n v="0"/>
    <d v="2024-09-23T00:00:00"/>
    <n v="366.99"/>
    <n v="4413.71"/>
    <d v="2026-03-30T15:38:08"/>
    <x v="5"/>
  </r>
  <r>
    <x v="12"/>
    <s v="Emma Wilson"/>
    <x v="0"/>
    <x v="3"/>
    <n v="1172.97"/>
    <n v="7"/>
    <n v="0.15"/>
    <d v="2024-09-24T00:00:00"/>
    <n v="348.96"/>
    <n v="5779.05"/>
    <d v="2026-03-30T15:38:08"/>
    <x v="5"/>
  </r>
  <r>
    <x v="19"/>
    <s v="James Wilson"/>
    <x v="3"/>
    <x v="1"/>
    <n v="1205.82"/>
    <n v="11"/>
    <n v="0.1"/>
    <d v="2024-09-24T00:00:00"/>
    <n v="542.62"/>
    <n v="8740.18"/>
    <d v="2026-03-30T15:38:08"/>
    <x v="5"/>
  </r>
  <r>
    <x v="2"/>
    <s v="Sarah Davis"/>
    <x v="0"/>
    <x v="4"/>
    <n v="826.93"/>
    <n v="10"/>
    <n v="0.2"/>
    <d v="2024-09-29T00:00:00"/>
    <n v="297.69"/>
    <n v="3419.2"/>
    <d v="2026-03-30T15:38:08"/>
    <x v="5"/>
  </r>
  <r>
    <x v="24"/>
    <s v="James Wilson"/>
    <x v="4"/>
    <x v="1"/>
    <n v="902.19"/>
    <n v="12"/>
    <n v="0"/>
    <d v="2024-09-29T00:00:00"/>
    <n v="451.1"/>
    <n v="8490.18"/>
    <d v="2026-03-30T15:38:08"/>
    <x v="5"/>
  </r>
  <r>
    <x v="29"/>
    <s v="Emma Davis"/>
    <x v="3"/>
    <x v="0"/>
    <n v="585.97"/>
    <n v="17"/>
    <n v="0.1"/>
    <d v="2024-09-30T00:00:00"/>
    <n v="210.95"/>
    <n v="3906.04"/>
    <d v="2026-03-30T15:38:08"/>
    <x v="5"/>
  </r>
  <r>
    <x v="21"/>
    <s v="Michael Anderson"/>
    <x v="3"/>
    <x v="1"/>
    <n v="990.19"/>
    <n v="8"/>
    <n v="0.1"/>
    <d v="2024-09-30T00:00:00"/>
    <n v="445.59"/>
    <n v="3369.17"/>
    <d v="2026-03-30T15:38:08"/>
    <x v="5"/>
  </r>
  <r>
    <x v="13"/>
    <s v="David Davis"/>
    <x v="4"/>
    <x v="2"/>
    <n v="1014.09"/>
    <n v="13"/>
    <n v="0.2"/>
    <d v="2024-10-02T00:00:00"/>
    <n v="202.82"/>
    <n v="9760.7999999999993"/>
    <d v="2026-03-30T15:38:08"/>
    <x v="6"/>
  </r>
  <r>
    <x v="1"/>
    <s v="Lisa Davis"/>
    <x v="3"/>
    <x v="2"/>
    <n v="925.29"/>
    <n v="17"/>
    <n v="0"/>
    <d v="2024-10-05T00:00:00"/>
    <n v="231.32"/>
    <n v="8339"/>
    <d v="2026-03-30T15:38:08"/>
    <x v="6"/>
  </r>
  <r>
    <x v="18"/>
    <s v="Mary Jackson"/>
    <x v="1"/>
    <x v="3"/>
    <n v="1286.54"/>
    <n v="8"/>
    <n v="0"/>
    <d v="2024-10-10T00:00:00"/>
    <n v="450.29"/>
    <n v="6716.52"/>
    <d v="2026-03-30T15:38:08"/>
    <x v="6"/>
  </r>
  <r>
    <x v="10"/>
    <s v="Sarah Davis"/>
    <x v="2"/>
    <x v="0"/>
    <n v="961.62"/>
    <n v="8"/>
    <n v="0.2"/>
    <d v="2024-10-12T00:00:00"/>
    <n v="307.72000000000003"/>
    <n v="6729.8899999999994"/>
    <d v="2026-03-30T15:38:08"/>
    <x v="6"/>
  </r>
  <r>
    <x v="13"/>
    <s v="James Wilson"/>
    <x v="1"/>
    <x v="0"/>
    <n v="1081.1400000000001"/>
    <n v="19"/>
    <n v="0.15"/>
    <d v="2024-10-12T00:00:00"/>
    <n v="367.59"/>
    <n v="9760.7999999999993"/>
    <d v="2026-03-30T15:38:08"/>
    <x v="6"/>
  </r>
  <r>
    <x v="20"/>
    <s v="James Wilson"/>
    <x v="0"/>
    <x v="1"/>
    <n v="1923.66"/>
    <n v="9"/>
    <n v="0.2"/>
    <d v="2024-10-15T00:00:00"/>
    <n v="769.46"/>
    <n v="11611.060000000001"/>
    <d v="2026-03-30T15:38:08"/>
    <x v="6"/>
  </r>
  <r>
    <x v="18"/>
    <s v="Emma Taylor"/>
    <x v="4"/>
    <x v="1"/>
    <n v="728.71"/>
    <n v="14"/>
    <n v="0.1"/>
    <d v="2024-10-16T00:00:00"/>
    <n v="327.92"/>
    <n v="6716.52"/>
    <d v="2026-03-30T15:38:08"/>
    <x v="6"/>
  </r>
  <r>
    <x v="16"/>
    <s v="Linda Jackson"/>
    <x v="4"/>
    <x v="1"/>
    <n v="1301.8900000000001"/>
    <n v="7"/>
    <n v="0.15"/>
    <d v="2024-10-16T00:00:00"/>
    <n v="553.29999999999995"/>
    <n v="3604.02"/>
    <d v="2026-03-30T15:38:08"/>
    <x v="6"/>
  </r>
  <r>
    <x v="26"/>
    <s v="Emma Taylor"/>
    <x v="1"/>
    <x v="0"/>
    <n v="980.18"/>
    <n v="16"/>
    <n v="0.1"/>
    <d v="2024-10-17T00:00:00"/>
    <n v="352.86"/>
    <n v="7583.1299999999992"/>
    <d v="2026-03-30T15:38:08"/>
    <x v="6"/>
  </r>
  <r>
    <x v="29"/>
    <s v="James Wilson"/>
    <x v="0"/>
    <x v="1"/>
    <n v="697.57"/>
    <n v="17"/>
    <n v="0.1"/>
    <d v="2024-10-19T00:00:00"/>
    <n v="313.91000000000003"/>
    <n v="3906.04"/>
    <d v="2026-03-30T15:38:08"/>
    <x v="6"/>
  </r>
  <r>
    <x v="14"/>
    <s v="David Anderson"/>
    <x v="0"/>
    <x v="3"/>
    <n v="1193.6099999999999"/>
    <n v="1"/>
    <n v="0.15"/>
    <d v="2024-10-19T00:00:00"/>
    <n v="355.1"/>
    <n v="2699.75"/>
    <d v="2026-03-30T15:38:08"/>
    <x v="6"/>
  </r>
  <r>
    <x v="8"/>
    <s v="Emma Davis"/>
    <x v="2"/>
    <x v="2"/>
    <n v="771.02"/>
    <n v="1"/>
    <n v="0"/>
    <d v="2024-10-20T00:00:00"/>
    <n v="192.76"/>
    <n v="6505.2"/>
    <d v="2026-03-30T15:38:08"/>
    <x v="6"/>
  </r>
  <r>
    <x v="24"/>
    <s v="Linda Moore"/>
    <x v="3"/>
    <x v="1"/>
    <n v="661.09"/>
    <n v="1"/>
    <n v="0.2"/>
    <d v="2024-10-28T00:00:00"/>
    <n v="264.44"/>
    <n v="8490.18"/>
    <d v="2026-03-30T15:38:08"/>
    <x v="6"/>
  </r>
  <r>
    <x v="1"/>
    <s v="David Brown"/>
    <x v="0"/>
    <x v="2"/>
    <n v="688.83"/>
    <n v="15"/>
    <n v="0"/>
    <d v="2024-10-30T00:00:00"/>
    <n v="172.21"/>
    <n v="8339"/>
    <d v="2026-03-30T15:38:08"/>
    <x v="6"/>
  </r>
  <r>
    <x v="28"/>
    <s v="Linda Wilson"/>
    <x v="4"/>
    <x v="0"/>
    <n v="1249.0999999999999"/>
    <n v="4"/>
    <n v="0.05"/>
    <d v="2024-11-01T00:00:00"/>
    <n v="474.66"/>
    <n v="4162.4400000000005"/>
    <d v="2026-03-30T15:38:08"/>
    <x v="7"/>
  </r>
  <r>
    <x v="13"/>
    <s v="James Wilson"/>
    <x v="1"/>
    <x v="4"/>
    <n v="1014.22"/>
    <n v="14"/>
    <n v="0.05"/>
    <d v="2024-11-03T00:00:00"/>
    <n v="433.58"/>
    <n v="9760.7999999999993"/>
    <d v="2026-03-30T15:38:08"/>
    <x v="7"/>
  </r>
  <r>
    <x v="18"/>
    <s v="Lisa Davis"/>
    <x v="1"/>
    <x v="0"/>
    <n v="1010.58"/>
    <n v="2"/>
    <n v="0.15"/>
    <d v="2024-11-09T00:00:00"/>
    <n v="343.6"/>
    <n v="6716.52"/>
    <d v="2026-03-30T15:38:08"/>
    <x v="7"/>
  </r>
  <r>
    <x v="7"/>
    <s v="Mary Wilson"/>
    <x v="3"/>
    <x v="3"/>
    <n v="957.29"/>
    <n v="4"/>
    <n v="0.05"/>
    <d v="2024-11-09T00:00:00"/>
    <n v="318.3"/>
    <n v="9371.81"/>
    <d v="2026-03-30T15:38:08"/>
    <x v="7"/>
  </r>
  <r>
    <x v="6"/>
    <s v="Lisa Thomas"/>
    <x v="3"/>
    <x v="3"/>
    <n v="1077.92"/>
    <n v="3"/>
    <n v="0.05"/>
    <d v="2024-11-12T00:00:00"/>
    <n v="358.41"/>
    <n v="6549.55"/>
    <d v="2026-03-30T15:38:08"/>
    <x v="7"/>
  </r>
  <r>
    <x v="17"/>
    <s v="Linda Brown"/>
    <x v="2"/>
    <x v="1"/>
    <n v="1163.01"/>
    <n v="5"/>
    <n v="0"/>
    <d v="2024-11-15T00:00:00"/>
    <n v="581.5"/>
    <n v="10293.870000000001"/>
    <d v="2026-03-30T15:38:08"/>
    <x v="7"/>
  </r>
  <r>
    <x v="18"/>
    <s v="Lisa Thomas"/>
    <x v="1"/>
    <x v="4"/>
    <n v="1014.56"/>
    <n v="10"/>
    <n v="0.1"/>
    <d v="2024-11-16T00:00:00"/>
    <n v="410.9"/>
    <n v="6716.52"/>
    <d v="2026-03-30T15:38:08"/>
    <x v="7"/>
  </r>
  <r>
    <x v="16"/>
    <s v="James Taylor"/>
    <x v="2"/>
    <x v="2"/>
    <n v="718.04"/>
    <n v="14"/>
    <n v="0"/>
    <d v="2024-11-17T00:00:00"/>
    <n v="179.51"/>
    <n v="3604.02"/>
    <d v="2026-03-30T15:38:08"/>
    <x v="7"/>
  </r>
  <r>
    <x v="27"/>
    <s v="James Taylor"/>
    <x v="4"/>
    <x v="1"/>
    <n v="1277.8499999999999"/>
    <n v="18"/>
    <n v="0.2"/>
    <d v="2024-11-17T00:00:00"/>
    <n v="511.14"/>
    <n v="7813.59"/>
    <d v="2026-03-30T15:38:08"/>
    <x v="7"/>
  </r>
  <r>
    <x v="26"/>
    <s v="James Wilson"/>
    <x v="3"/>
    <x v="2"/>
    <n v="706.73"/>
    <n v="1"/>
    <n v="0.15"/>
    <d v="2024-11-17T00:00:00"/>
    <n v="150.18"/>
    <n v="7583.1299999999992"/>
    <d v="2026-03-30T15:38:08"/>
    <x v="7"/>
  </r>
  <r>
    <x v="23"/>
    <s v="Linda Brown"/>
    <x v="1"/>
    <x v="2"/>
    <n v="1410.59"/>
    <n v="15"/>
    <n v="0"/>
    <d v="2024-11-19T00:00:00"/>
    <n v="352.65"/>
    <n v="6481.43"/>
    <d v="2026-03-30T15:38:08"/>
    <x v="7"/>
  </r>
  <r>
    <x v="8"/>
    <s v="Emma Wilson"/>
    <x v="2"/>
    <x v="3"/>
    <n v="1350.33"/>
    <n v="10"/>
    <n v="0"/>
    <d v="2024-11-19T00:00:00"/>
    <n v="472.62"/>
    <n v="6505.2"/>
    <d v="2026-03-30T15:38:08"/>
    <x v="7"/>
  </r>
  <r>
    <x v="12"/>
    <s v="Lisa Thomas"/>
    <x v="1"/>
    <x v="2"/>
    <n v="919.18"/>
    <n v="4"/>
    <n v="0.15"/>
    <d v="2024-11-19T00:00:00"/>
    <n v="195.33"/>
    <n v="5779.05"/>
    <d v="2026-03-30T15:38:08"/>
    <x v="7"/>
  </r>
  <r>
    <x v="29"/>
    <s v="James Wilson"/>
    <x v="0"/>
    <x v="2"/>
    <n v="258.51"/>
    <n v="19"/>
    <n v="0"/>
    <d v="2024-11-20T00:00:00"/>
    <n v="64.63"/>
    <n v="3906.04"/>
    <d v="2026-03-30T15:38:08"/>
    <x v="7"/>
  </r>
  <r>
    <x v="22"/>
    <s v="Emma Wilson"/>
    <x v="1"/>
    <x v="0"/>
    <n v="1213.48"/>
    <n v="5"/>
    <n v="0.05"/>
    <d v="2024-11-20T00:00:00"/>
    <n v="461.12"/>
    <n v="3762.2900000000004"/>
    <d v="2026-03-30T15:38:08"/>
    <x v="7"/>
  </r>
  <r>
    <x v="19"/>
    <s v="Emma Davis"/>
    <x v="4"/>
    <x v="0"/>
    <n v="1150.28"/>
    <n v="8"/>
    <n v="0.05"/>
    <d v="2024-11-26T00:00:00"/>
    <n v="437.11"/>
    <n v="8740.18"/>
    <d v="2026-03-30T15:38:08"/>
    <x v="7"/>
  </r>
  <r>
    <x v="10"/>
    <s v="David Anderson"/>
    <x v="2"/>
    <x v="3"/>
    <n v="853.86"/>
    <n v="8"/>
    <n v="0.1"/>
    <d v="2024-11-26T00:00:00"/>
    <n v="268.97000000000003"/>
    <n v="6729.8899999999994"/>
    <d v="2026-03-30T15:38:08"/>
    <x v="7"/>
  </r>
  <r>
    <x v="30"/>
    <s v="Lisa Thomas"/>
    <x v="2"/>
    <x v="2"/>
    <n v="1061.04"/>
    <n v="1"/>
    <n v="0"/>
    <d v="2024-11-28T00:00:00"/>
    <n v="265.26"/>
    <n v="4951.8899999999994"/>
    <d v="2026-03-30T15:38:08"/>
    <x v="7"/>
  </r>
  <r>
    <x v="6"/>
    <s v="Sarah Anderson"/>
    <x v="0"/>
    <x v="2"/>
    <n v="894.55"/>
    <n v="19"/>
    <n v="0.2"/>
    <d v="2024-11-29T00:00:00"/>
    <n v="178.91"/>
    <n v="6549.55"/>
    <d v="2026-03-30T15:38:08"/>
    <x v="7"/>
  </r>
  <r>
    <x v="5"/>
    <s v="Emma Davis"/>
    <x v="3"/>
    <x v="4"/>
    <n v="833.91"/>
    <n v="3"/>
    <n v="0.05"/>
    <d v="2024-11-30T00:00:00"/>
    <n v="356.5"/>
    <n v="9941.8799999999992"/>
    <d v="2026-03-30T15:38:08"/>
    <x v="7"/>
  </r>
  <r>
    <x v="20"/>
    <s v="David Anderson"/>
    <x v="0"/>
    <x v="3"/>
    <n v="820.19"/>
    <n v="4"/>
    <n v="0.2"/>
    <d v="2024-12-04T00:00:00"/>
    <n v="229.65"/>
    <n v="11611.060000000001"/>
    <d v="2026-03-30T15:38:08"/>
    <x v="8"/>
  </r>
  <r>
    <x v="20"/>
    <s v="Emma Davis"/>
    <x v="4"/>
    <x v="2"/>
    <n v="511.74"/>
    <n v="8"/>
    <n v="0.05"/>
    <d v="2024-12-05T00:00:00"/>
    <n v="121.54"/>
    <n v="11611.060000000001"/>
    <d v="2026-03-30T15:38:08"/>
    <x v="8"/>
  </r>
  <r>
    <x v="23"/>
    <s v="Emma Wilson"/>
    <x v="2"/>
    <x v="3"/>
    <n v="806.03"/>
    <n v="19"/>
    <n v="0.05"/>
    <d v="2024-12-12T00:00:00"/>
    <n v="268"/>
    <n v="6481.43"/>
    <d v="2026-03-30T15:38:08"/>
    <x v="8"/>
  </r>
  <r>
    <x v="6"/>
    <s v="Michael Anderson"/>
    <x v="4"/>
    <x v="3"/>
    <n v="1432.47"/>
    <n v="16"/>
    <n v="0.15"/>
    <d v="2024-12-14T00:00:00"/>
    <n v="426.16"/>
    <n v="6549.55"/>
    <d v="2026-03-30T15:38:08"/>
    <x v="8"/>
  </r>
  <r>
    <x v="29"/>
    <s v="Linda Wilson"/>
    <x v="4"/>
    <x v="2"/>
    <n v="1488.58"/>
    <n v="10"/>
    <n v="0.15"/>
    <d v="2024-12-14T00:00:00"/>
    <n v="316.32"/>
    <n v="3906.04"/>
    <d v="2026-03-30T15:38:08"/>
    <x v="8"/>
  </r>
  <r>
    <x v="7"/>
    <s v="Emma Taylor"/>
    <x v="1"/>
    <x v="0"/>
    <n v="1231.26"/>
    <n v="9"/>
    <n v="0"/>
    <d v="2024-12-20T00:00:00"/>
    <n v="492.5"/>
    <n v="9371.81"/>
    <d v="2026-03-30T15:38:08"/>
    <x v="8"/>
  </r>
  <r>
    <x v="7"/>
    <s v="Sarah Anderson"/>
    <x v="0"/>
    <x v="2"/>
    <n v="1161.67"/>
    <n v="19"/>
    <n v="0.2"/>
    <d v="2024-12-21T00:00:00"/>
    <n v="232.33"/>
    <n v="9371.81"/>
    <d v="2026-03-30T15:38:08"/>
    <x v="8"/>
  </r>
  <r>
    <x v="15"/>
    <s v="Lisa Thomas"/>
    <x v="4"/>
    <x v="4"/>
    <n v="388.23"/>
    <n v="16"/>
    <n v="0.05"/>
    <d v="2024-12-24T00:00:00"/>
    <n v="165.97"/>
    <n v="4418.2800000000007"/>
    <d v="2026-03-30T15:38:08"/>
    <x v="8"/>
  </r>
  <r>
    <x v="27"/>
    <s v="Mary Davis"/>
    <x v="3"/>
    <x v="1"/>
    <n v="1589.42"/>
    <n v="6"/>
    <n v="0.15"/>
    <d v="2024-12-25T00:00:00"/>
    <n v="675.5"/>
    <n v="7813.59"/>
    <d v="2026-03-30T15:38:08"/>
    <x v="8"/>
  </r>
  <r>
    <x v="6"/>
    <s v="David Anderson"/>
    <x v="3"/>
    <x v="1"/>
    <n v="336.66"/>
    <n v="13"/>
    <n v="0.2"/>
    <d v="2024-12-25T00:00:00"/>
    <n v="134.66"/>
    <n v="6549.55"/>
    <d v="2026-03-30T15:38:08"/>
    <x v="8"/>
  </r>
  <r>
    <x v="15"/>
    <s v="James Wilson"/>
    <x v="0"/>
    <x v="0"/>
    <n v="1353.79"/>
    <n v="14"/>
    <n v="0.1"/>
    <d v="2024-12-30T00:00:00"/>
    <n v="487.36"/>
    <n v="4418.2800000000007"/>
    <d v="2026-03-30T15:38:08"/>
    <x v="8"/>
  </r>
  <r>
    <x v="22"/>
    <s v="Linda Moore"/>
    <x v="4"/>
    <x v="1"/>
    <n v="662.61"/>
    <n v="11"/>
    <n v="0.05"/>
    <d v="2025-01-01T00:00:00"/>
    <n v="314.74"/>
    <n v="3762.2900000000004"/>
    <d v="2026-03-30T15:38:08"/>
    <x v="9"/>
  </r>
  <r>
    <x v="17"/>
    <s v="Lisa Davis"/>
    <x v="3"/>
    <x v="4"/>
    <n v="309.42"/>
    <n v="1"/>
    <n v="0.2"/>
    <d v="2025-01-01T00:00:00"/>
    <n v="111.39"/>
    <n v="10293.870000000001"/>
    <d v="2026-03-30T15:38:08"/>
    <x v="9"/>
  </r>
  <r>
    <x v="22"/>
    <s v="Linda Wilson"/>
    <x v="3"/>
    <x v="0"/>
    <n v="884.63"/>
    <n v="18"/>
    <n v="0.1"/>
    <d v="2025-01-02T00:00:00"/>
    <n v="318.47000000000003"/>
    <n v="3762.2900000000004"/>
    <d v="2026-03-30T15:38:08"/>
    <x v="9"/>
  </r>
  <r>
    <x v="17"/>
    <s v="James Wilson"/>
    <x v="4"/>
    <x v="4"/>
    <n v="745.05"/>
    <n v="10"/>
    <n v="0.1"/>
    <d v="2025-01-03T00:00:00"/>
    <n v="301.75"/>
    <n v="10293.870000000001"/>
    <d v="2026-03-30T15:38:08"/>
    <x v="9"/>
  </r>
  <r>
    <x v="21"/>
    <s v="James Taylor"/>
    <x v="2"/>
    <x v="1"/>
    <n v="870.23"/>
    <n v="5"/>
    <n v="0.05"/>
    <d v="2025-01-03T00:00:00"/>
    <n v="413.36"/>
    <n v="3369.17"/>
    <d v="2026-03-30T15:38:08"/>
    <x v="9"/>
  </r>
  <r>
    <x v="9"/>
    <s v="Linda Wilson"/>
    <x v="0"/>
    <x v="3"/>
    <n v="862.19"/>
    <n v="18"/>
    <n v="0.05"/>
    <d v="2025-01-06T00:00:00"/>
    <n v="286.68"/>
    <n v="4259.22"/>
    <d v="2026-03-30T15:38:08"/>
    <x v="9"/>
  </r>
  <r>
    <x v="28"/>
    <s v="Mary Wilson"/>
    <x v="3"/>
    <x v="1"/>
    <n v="1171.18"/>
    <n v="19"/>
    <n v="0.05"/>
    <d v="2025-01-10T00:00:00"/>
    <n v="556.30999999999995"/>
    <n v="4162.4400000000005"/>
    <d v="2026-03-30T15:38:08"/>
    <x v="9"/>
  </r>
  <r>
    <x v="20"/>
    <s v="Robert Anderson"/>
    <x v="2"/>
    <x v="3"/>
    <n v="1054.56"/>
    <n v="11"/>
    <n v="0.1"/>
    <d v="2025-01-12T00:00:00"/>
    <n v="332.19"/>
    <n v="11611.060000000001"/>
    <d v="2026-03-30T15:38:08"/>
    <x v="9"/>
  </r>
  <r>
    <x v="20"/>
    <s v="James Wilson"/>
    <x v="3"/>
    <x v="2"/>
    <n v="1681.21"/>
    <n v="5"/>
    <n v="0.2"/>
    <d v="2025-01-13T00:00:00"/>
    <n v="336.24"/>
    <n v="11611.060000000001"/>
    <d v="2026-03-30T15:38:08"/>
    <x v="9"/>
  </r>
  <r>
    <x v="20"/>
    <s v="David Thomas"/>
    <x v="0"/>
    <x v="1"/>
    <n v="379.77"/>
    <n v="9"/>
    <n v="0.05"/>
    <d v="2025-01-16T00:00:00"/>
    <n v="180.39"/>
    <n v="11611.060000000001"/>
    <d v="2026-03-30T15:38:08"/>
    <x v="9"/>
  </r>
  <r>
    <x v="13"/>
    <s v="Lisa Thomas"/>
    <x v="4"/>
    <x v="1"/>
    <n v="1076.33"/>
    <n v="2"/>
    <n v="0.1"/>
    <d v="2025-01-17T00:00:00"/>
    <n v="484.35"/>
    <n v="9760.7999999999993"/>
    <d v="2026-03-30T15:38:08"/>
    <x v="9"/>
  </r>
  <r>
    <x v="13"/>
    <s v="Mary Davis"/>
    <x v="4"/>
    <x v="4"/>
    <n v="1250.71"/>
    <n v="7"/>
    <n v="0"/>
    <d v="2025-01-17T00:00:00"/>
    <n v="562.82000000000005"/>
    <n v="9760.7999999999993"/>
    <d v="2026-03-30T15:38:08"/>
    <x v="9"/>
  </r>
  <r>
    <x v="11"/>
    <s v="James Taylor"/>
    <x v="2"/>
    <x v="1"/>
    <n v="1118.3399999999999"/>
    <n v="6"/>
    <n v="0.2"/>
    <d v="2025-01-17T00:00:00"/>
    <n v="447.34"/>
    <n v="5913.68"/>
    <d v="2026-03-30T15:38:08"/>
    <x v="9"/>
  </r>
  <r>
    <x v="26"/>
    <s v="Linda Taylor"/>
    <x v="3"/>
    <x v="1"/>
    <n v="1622.62"/>
    <n v="12"/>
    <n v="0.2"/>
    <d v="2025-01-20T00:00:00"/>
    <n v="649.04999999999995"/>
    <n v="7583.1299999999992"/>
    <d v="2026-03-30T15:38:08"/>
    <x v="9"/>
  </r>
  <r>
    <x v="30"/>
    <s v="Lisa Davis"/>
    <x v="3"/>
    <x v="0"/>
    <n v="640.64"/>
    <n v="11"/>
    <n v="0.2"/>
    <d v="2025-01-21T00:00:00"/>
    <n v="205"/>
    <n v="4951.8899999999994"/>
    <d v="2026-03-30T15:38:08"/>
    <x v="9"/>
  </r>
  <r>
    <x v="4"/>
    <s v="Sarah Anderson"/>
    <x v="0"/>
    <x v="1"/>
    <n v="585.16"/>
    <n v="17"/>
    <n v="0.1"/>
    <d v="2025-01-27T00:00:00"/>
    <n v="263.32"/>
    <n v="7928.71"/>
    <d v="2026-03-30T15:38:08"/>
    <x v="9"/>
  </r>
  <r>
    <x v="4"/>
    <s v="Mary Davis"/>
    <x v="1"/>
    <x v="1"/>
    <n v="1109.98"/>
    <n v="5"/>
    <n v="0.2"/>
    <d v="2025-02-02T00:00:00"/>
    <n v="443.99"/>
    <n v="7928.71"/>
    <d v="2026-03-30T15:38:08"/>
    <x v="10"/>
  </r>
  <r>
    <x v="20"/>
    <s v="Lisa Thomas"/>
    <x v="1"/>
    <x v="0"/>
    <n v="1098.08"/>
    <n v="9"/>
    <n v="0.1"/>
    <d v="2025-02-04T00:00:00"/>
    <n v="395.31"/>
    <n v="11611.060000000001"/>
    <d v="2026-03-30T15:38:08"/>
    <x v="10"/>
  </r>
  <r>
    <x v="23"/>
    <s v="Lisa Davis"/>
    <x v="0"/>
    <x v="4"/>
    <n v="827.25"/>
    <n v="7"/>
    <n v="0.1"/>
    <d v="2025-02-05T00:00:00"/>
    <n v="335.04"/>
    <n v="6481.43"/>
    <d v="2026-03-30T15:38:08"/>
    <x v="10"/>
  </r>
  <r>
    <x v="26"/>
    <s v="Linda Wilson"/>
    <x v="4"/>
    <x v="1"/>
    <n v="741.88"/>
    <n v="16"/>
    <n v="0.1"/>
    <d v="2025-02-07T00:00:00"/>
    <n v="333.85"/>
    <n v="7583.1299999999992"/>
    <d v="2026-03-30T15:38:08"/>
    <x v="10"/>
  </r>
  <r>
    <x v="27"/>
    <s v="James Davis"/>
    <x v="1"/>
    <x v="4"/>
    <n v="1311.26"/>
    <n v="6"/>
    <n v="0.1"/>
    <d v="2025-02-10T00:00:00"/>
    <n v="531.05999999999995"/>
    <n v="7813.59"/>
    <d v="2026-03-30T15:38:08"/>
    <x v="10"/>
  </r>
  <r>
    <x v="27"/>
    <s v="Mary Davis"/>
    <x v="2"/>
    <x v="4"/>
    <n v="573.32000000000005"/>
    <n v="19"/>
    <n v="0.1"/>
    <d v="2025-02-15T00:00:00"/>
    <n v="232.19"/>
    <n v="7813.59"/>
    <d v="2026-03-30T15:38:08"/>
    <x v="10"/>
  </r>
  <r>
    <x v="17"/>
    <s v="James Wilson"/>
    <x v="0"/>
    <x v="2"/>
    <n v="1115.22"/>
    <n v="14"/>
    <n v="0.2"/>
    <d v="2025-02-17T00:00:00"/>
    <n v="223.04"/>
    <n v="10293.870000000001"/>
    <d v="2026-03-30T15:38:08"/>
    <x v="10"/>
  </r>
  <r>
    <x v="1"/>
    <s v="Lisa Thomas"/>
    <x v="3"/>
    <x v="1"/>
    <n v="845.84"/>
    <n v="4"/>
    <n v="0"/>
    <d v="2025-02-19T00:00:00"/>
    <n v="422.92"/>
    <n v="8339"/>
    <d v="2026-03-30T15:38:08"/>
    <x v="10"/>
  </r>
  <r>
    <x v="7"/>
    <s v="David Brown"/>
    <x v="0"/>
    <x v="2"/>
    <n v="1029.8"/>
    <n v="3"/>
    <n v="0"/>
    <d v="2025-02-20T00:00:00"/>
    <n v="257.45"/>
    <n v="9371.81"/>
    <d v="2026-03-30T15:38:08"/>
    <x v="10"/>
  </r>
  <r>
    <x v="8"/>
    <s v="Mary Davis"/>
    <x v="3"/>
    <x v="0"/>
    <n v="1189.83"/>
    <n v="2"/>
    <n v="0.2"/>
    <d v="2025-02-21T00:00:00"/>
    <n v="380.75"/>
    <n v="6505.2"/>
    <d v="2026-03-30T15:38:08"/>
    <x v="10"/>
  </r>
  <r>
    <x v="24"/>
    <s v="Sarah Anderson"/>
    <x v="2"/>
    <x v="0"/>
    <n v="704.28"/>
    <n v="15"/>
    <n v="0.2"/>
    <d v="2025-02-24T00:00:00"/>
    <n v="225.37"/>
    <n v="8490.18"/>
    <d v="2026-03-30T15:38:08"/>
    <x v="10"/>
  </r>
  <r>
    <x v="23"/>
    <s v="Mary Jackson"/>
    <x v="4"/>
    <x v="4"/>
    <n v="1618.22"/>
    <n v="12"/>
    <n v="0.2"/>
    <d v="2025-02-24T00:00:00"/>
    <n v="582.55999999999995"/>
    <n v="6481.43"/>
    <d v="2026-03-30T15:38:08"/>
    <x v="10"/>
  </r>
  <r>
    <x v="28"/>
    <s v="Linda Taylor"/>
    <x v="4"/>
    <x v="0"/>
    <n v="1014.43"/>
    <n v="2"/>
    <n v="0.15"/>
    <d v="2025-02-25T00:00:00"/>
    <n v="344.91"/>
    <n v="4162.4400000000005"/>
    <d v="2026-03-30T15:38:08"/>
    <x v="10"/>
  </r>
  <r>
    <x v="30"/>
    <s v="Mary Davis"/>
    <x v="4"/>
    <x v="1"/>
    <n v="826.97"/>
    <n v="18"/>
    <n v="0.2"/>
    <d v="2025-02-27T00:00:00"/>
    <n v="330.79"/>
    <n v="4951.8899999999994"/>
    <d v="2026-03-30T15:38:08"/>
    <x v="10"/>
  </r>
  <r>
    <x v="2"/>
    <s v="Mary Davis"/>
    <x v="4"/>
    <x v="1"/>
    <n v="1022.23"/>
    <n v="8"/>
    <n v="0.1"/>
    <d v="2025-03-01T00:00:00"/>
    <n v="460"/>
    <n v="3419.2"/>
    <d v="2026-03-30T15:38:08"/>
    <x v="11"/>
  </r>
  <r>
    <x v="27"/>
    <s v="Linda Wilson"/>
    <x v="1"/>
    <x v="0"/>
    <n v="1099.69"/>
    <n v="6"/>
    <n v="0"/>
    <d v="2025-03-02T00:00:00"/>
    <n v="439.88"/>
    <n v="7813.59"/>
    <d v="2026-03-30T15:38:08"/>
    <x v="11"/>
  </r>
  <r>
    <x v="17"/>
    <s v="Sarah Davis"/>
    <x v="3"/>
    <x v="0"/>
    <n v="710.52"/>
    <n v="8"/>
    <n v="0.1"/>
    <d v="2025-03-05T00:00:00"/>
    <n v="255.79"/>
    <n v="10293.870000000001"/>
    <d v="2026-03-30T15:38:08"/>
    <x v="11"/>
  </r>
  <r>
    <x v="17"/>
    <s v="Mary Wilson"/>
    <x v="3"/>
    <x v="0"/>
    <n v="499.18"/>
    <n v="15"/>
    <n v="0.2"/>
    <d v="2025-03-08T00:00:00"/>
    <n v="159.74"/>
    <n v="10293.870000000001"/>
    <d v="2026-03-30T15:38:08"/>
    <x v="11"/>
  </r>
  <r>
    <x v="10"/>
    <s v="Emma Davis"/>
    <x v="2"/>
    <x v="0"/>
    <n v="1064.19"/>
    <n v="18"/>
    <n v="0.05"/>
    <d v="2025-03-09T00:00:00"/>
    <n v="404.39"/>
    <n v="6729.8899999999994"/>
    <d v="2026-03-30T15:38:08"/>
    <x v="11"/>
  </r>
  <r>
    <x v="24"/>
    <s v="Emma Davis"/>
    <x v="1"/>
    <x v="4"/>
    <n v="438.76"/>
    <n v="18"/>
    <n v="0.05"/>
    <d v="2025-03-10T00:00:00"/>
    <n v="187.57"/>
    <n v="8490.18"/>
    <d v="2026-03-30T15:38:08"/>
    <x v="11"/>
  </r>
  <r>
    <x v="12"/>
    <s v="David Brown"/>
    <x v="0"/>
    <x v="1"/>
    <n v="864.98"/>
    <n v="2"/>
    <n v="0.05"/>
    <d v="2025-03-11T00:00:00"/>
    <n v="410.87"/>
    <n v="5779.05"/>
    <d v="2026-03-30T15:38:08"/>
    <x v="11"/>
  </r>
  <r>
    <x v="19"/>
    <s v="David Brown"/>
    <x v="0"/>
    <x v="3"/>
    <n v="984.93"/>
    <n v="14"/>
    <n v="0.2"/>
    <d v="2025-03-17T00:00:00"/>
    <n v="275.77999999999997"/>
    <n v="8740.18"/>
    <d v="2026-03-30T15:38:08"/>
    <x v="11"/>
  </r>
  <r>
    <x v="5"/>
    <s v="David Brown"/>
    <x v="0"/>
    <x v="1"/>
    <n v="1493.49"/>
    <n v="18"/>
    <n v="0"/>
    <d v="2025-03-18T00:00:00"/>
    <n v="746.74"/>
    <n v="9941.8799999999992"/>
    <d v="2026-03-30T15:38:08"/>
    <x v="11"/>
  </r>
  <r>
    <x v="8"/>
    <s v="Linda Taylor"/>
    <x v="2"/>
    <x v="1"/>
    <n v="689.43"/>
    <n v="9"/>
    <n v="0.1"/>
    <d v="2025-03-20T00:00:00"/>
    <n v="310.24"/>
    <n v="6505.2"/>
    <d v="2026-03-30T15:38:08"/>
    <x v="11"/>
  </r>
  <r>
    <x v="11"/>
    <s v="Mary Wilson"/>
    <x v="2"/>
    <x v="1"/>
    <n v="682.24"/>
    <n v="1"/>
    <n v="0"/>
    <d v="2025-03-22T00:00:00"/>
    <n v="341.12"/>
    <n v="5913.68"/>
    <d v="2026-03-30T15:38:08"/>
    <x v="11"/>
  </r>
  <r>
    <x v="12"/>
    <s v="Michael Anderson"/>
    <x v="3"/>
    <x v="2"/>
    <n v="458.54"/>
    <n v="15"/>
    <n v="0.2"/>
    <d v="2025-03-25T00:00:00"/>
    <n v="91.71"/>
    <n v="5779.05"/>
    <d v="2026-03-30T15:38:08"/>
    <x v="11"/>
  </r>
  <r>
    <x v="8"/>
    <s v="Michael Anderson"/>
    <x v="2"/>
    <x v="3"/>
    <n v="1184.25"/>
    <n v="11"/>
    <n v="0.2"/>
    <d v="2025-03-26T00:00:00"/>
    <n v="331.59"/>
    <n v="6505.2"/>
    <d v="2026-03-30T15:38:08"/>
    <x v="11"/>
  </r>
  <r>
    <x v="5"/>
    <s v="James Davis"/>
    <x v="2"/>
    <x v="1"/>
    <n v="762.14"/>
    <n v="9"/>
    <n v="0"/>
    <d v="2025-03-27T00:00:00"/>
    <n v="381.07"/>
    <n v="9941.8799999999992"/>
    <d v="2026-03-30T15:38:08"/>
    <x v="11"/>
  </r>
  <r>
    <x v="4"/>
    <s v="Linda Taylor"/>
    <x v="3"/>
    <x v="0"/>
    <n v="750.71"/>
    <n v="10"/>
    <n v="0.15"/>
    <d v="2025-03-27T00:00:00"/>
    <n v="255.24"/>
    <n v="7928.71"/>
    <d v="2026-03-30T15:38:08"/>
    <x v="11"/>
  </r>
  <r>
    <x v="30"/>
    <s v="David Anderson"/>
    <x v="4"/>
    <x v="1"/>
    <n v="1456.94"/>
    <n v="14"/>
    <n v="0.05"/>
    <d v="2025-03-29T00:00:00"/>
    <n v="692.05"/>
    <n v="4951.8899999999994"/>
    <d v="2026-03-30T15:38:08"/>
    <x v="11"/>
  </r>
  <r>
    <x v="13"/>
    <s v="Emma Wilson"/>
    <x v="1"/>
    <x v="3"/>
    <n v="1093.3800000000001"/>
    <n v="17"/>
    <n v="0.1"/>
    <d v="2025-03-29T00:00:00"/>
    <n v="344.41"/>
    <n v="9760.7999999999993"/>
    <d v="2026-03-30T15:38:08"/>
    <x v="11"/>
  </r>
  <r>
    <x v="10"/>
    <s v="Sarah Anderson"/>
    <x v="0"/>
    <x v="1"/>
    <n v="934.27"/>
    <n v="8"/>
    <n v="0.15"/>
    <d v="2025-03-30T00:00:00"/>
    <n v="397.06"/>
    <n v="6729.8899999999994"/>
    <d v="2026-03-30T15:38:08"/>
    <x v="11"/>
  </r>
  <r>
    <x v="26"/>
    <s v="David Thomas"/>
    <x v="4"/>
    <x v="1"/>
    <n v="1465.35"/>
    <n v="8"/>
    <n v="0.2"/>
    <d v="2025-03-30T00:00:00"/>
    <n v="586.14"/>
    <n v="7583.1299999999992"/>
    <d v="2026-03-30T15:38:08"/>
    <x v="11"/>
  </r>
  <r>
    <x v="17"/>
    <s v="Robert Anderson"/>
    <x v="2"/>
    <x v="4"/>
    <n v="740.8"/>
    <n v="3"/>
    <n v="0"/>
    <d v="2025-04-02T00:00:00"/>
    <n v="333.36"/>
    <n v="10293.870000000001"/>
    <d v="2026-03-30T15:38:08"/>
    <x v="0"/>
  </r>
  <r>
    <x v="20"/>
    <s v="Sarah Anderson"/>
    <x v="0"/>
    <x v="4"/>
    <n v="545.44000000000005"/>
    <n v="17"/>
    <n v="0"/>
    <d v="2025-04-05T00:00:00"/>
    <n v="245.45"/>
    <n v="11611.060000000001"/>
    <d v="2026-03-30T15:38:08"/>
    <x v="0"/>
  </r>
  <r>
    <x v="9"/>
    <s v="David Thomas"/>
    <x v="1"/>
    <x v="0"/>
    <n v="997.61"/>
    <n v="8"/>
    <n v="0.05"/>
    <d v="2025-04-05T00:00:00"/>
    <n v="379.09"/>
    <n v="4259.22"/>
    <d v="2026-03-30T15:38:08"/>
    <x v="0"/>
  </r>
  <r>
    <x v="21"/>
    <s v="David Thomas"/>
    <x v="2"/>
    <x v="1"/>
    <n v="928.32"/>
    <n v="2"/>
    <n v="0.05"/>
    <d v="2025-04-07T00:00:00"/>
    <n v="440.95"/>
    <n v="3369.17"/>
    <d v="2026-03-30T15:38:0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946A-35A4-48B8-9742-5E1EB41CBDED}" name="PivotTable1" cacheId="6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3:P14" firstHeaderRow="1" firstDataRow="1" firstDataCol="1"/>
  <pivotFields count="12">
    <pivotField axis="axisRow" compact="0" outline="0" showAll="0" measureFilter="1">
      <items count="32">
        <item x="6"/>
        <item x="23"/>
        <item x="24"/>
        <item x="27"/>
        <item x="3"/>
        <item x="14"/>
        <item x="5"/>
        <item x="13"/>
        <item x="8"/>
        <item x="9"/>
        <item x="22"/>
        <item x="1"/>
        <item x="28"/>
        <item x="10"/>
        <item x="20"/>
        <item x="21"/>
        <item x="2"/>
        <item x="30"/>
        <item x="16"/>
        <item x="25"/>
        <item x="19"/>
        <item x="15"/>
        <item x="11"/>
        <item x="26"/>
        <item x="18"/>
        <item x="7"/>
        <item x="29"/>
        <item x="17"/>
        <item x="1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numFmtId="22" outline="0" showAll="0"/>
    <pivotField compact="0" outline="0" showAll="0"/>
  </pivotFields>
  <rowFields count="1">
    <field x="0"/>
  </rowFields>
  <rowItems count="11">
    <i>
      <x v="2"/>
    </i>
    <i>
      <x v="3"/>
    </i>
    <i>
      <x v="6"/>
    </i>
    <i>
      <x v="7"/>
    </i>
    <i>
      <x v="11"/>
    </i>
    <i>
      <x v="14"/>
    </i>
    <i>
      <x v="20"/>
    </i>
    <i>
      <x v="25"/>
    </i>
    <i>
      <x v="27"/>
    </i>
    <i>
      <x v="29"/>
    </i>
    <i t="grand">
      <x/>
    </i>
  </rowItems>
  <colItems count="1">
    <i/>
  </colItems>
  <dataFields count="1">
    <dataField name="Sum of Sales" fld="4" baseField="0" baseItem="0"/>
  </dataFields>
  <formats count="10">
    <format dxfId="45">
      <pivotArea type="all" dataOnly="0" outline="0" fieldPosition="0"/>
    </format>
    <format dxfId="46">
      <pivotArea dataOnly="0" labelOnly="1" grandRow="1" outline="0" fieldPosition="0"/>
    </format>
    <format dxfId="47">
      <pivotArea grandRow="1" outline="0" collapsedLevelsAreSubtotals="1" fieldPosition="0"/>
    </format>
    <format dxfId="48">
      <pivotArea dataOnly="0" labelOnly="1" grandRow="1" outline="0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0" type="button" dataOnly="0" labelOnly="1" outline="0" axis="axisRow" fieldPosition="0"/>
    </format>
    <format dxfId="52">
      <pivotArea dataOnly="0" labelOnly="1" outline="0" fieldPosition="0">
        <references count="1">
          <reference field="0" count="10">
            <x v="2"/>
            <x v="3"/>
            <x v="6"/>
            <x v="7"/>
            <x v="11"/>
            <x v="14"/>
            <x v="20"/>
            <x v="25"/>
            <x v="27"/>
            <x v="29"/>
          </reference>
        </references>
      </pivotArea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Medium9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C739A-3D03-4876-9768-A8E3DF056145}" name="PivotTable2" cacheId="6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0" firstHeaderRow="1" firstDataRow="2" firstDataCol="1"/>
  <pivotFields count="12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numFmtId="164" outline="0" showAll="0"/>
    <pivotField compact="0" numFmtId="22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pending" fld="9" baseField="0" baseItem="0" numFmtId="164"/>
  </dataFields>
  <formats count="10">
    <format dxfId="35">
      <pivotArea type="all" dataOnly="0" outline="0" fieldPosition="0"/>
    </format>
    <format dxfId="36">
      <pivotArea outline="0" collapsedLevelsAreSubtotals="1" fieldPosition="0"/>
    </format>
    <format dxfId="37">
      <pivotArea type="origin" dataOnly="0" labelOnly="1" outline="0" fieldPosition="0"/>
    </format>
    <format dxfId="38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41">
      <pivotArea dataOnly="0" labelOnly="1" outline="0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3">
      <pivotArea dataOnly="0" labelOnly="1" outline="0" fieldPosition="0">
        <references count="1">
          <reference field="3" count="0"/>
        </references>
      </pivotArea>
    </format>
    <format dxfId="44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E148D-8EE7-4BC3-99AA-041E8C2F4B9C}" name="PivotTable4" cacheId="6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4:C10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numFmtId="22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6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2" type="button" dataOnly="0" labelOnly="1" outline="0" axis="axisRow" fieldPosition="0"/>
    </format>
    <format dxfId="32">
      <pivotArea dataOnly="0" labelOnly="1" outline="0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21BE1-2363-4465-89C3-1F320810FBDA}" name="PivotTable3" cacheId="6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H4:I17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numFmtId="22" outline="0" showAll="0"/>
    <pivotField axis="axisRow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1" type="button" dataOnly="0" labelOnly="1" outline="0" axis="axisRow" fieldPosition="0"/>
    </format>
    <format dxfId="26">
      <pivotArea dataOnly="0" labelOnly="1" outline="0" fieldPosition="0">
        <references count="1">
          <reference field="11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4F794-749F-448B-8EFF-9E540C601A4C}" name="PivotTable5" cacheId="6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4:F10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numFmtId="22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formats count="6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3" type="button" dataOnly="0" labelOnly="1" outline="0" axis="axisRow" fieldPosition="0"/>
    </format>
    <format dxfId="20">
      <pivotArea dataOnly="0" labelOnly="1" outline="0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EBE78-F114-4C7B-A973-660E57B01F66}" name="Table1" displayName="Table1" ref="B2:M202" totalsRowShown="0" headerRowDxfId="16" dataDxfId="15" headerRowBorderDxfId="13" tableBorderDxfId="14" totalsRowBorderDxfId="12">
  <autoFilter ref="B2:M202" xr:uid="{C95EBE78-F114-4C7B-A973-660E57B01F66}"/>
  <tableColumns count="12">
    <tableColumn id="1" xr3:uid="{DFAFFBF1-92A0-46E1-B31B-4CB1C3012AEE}" name="Customer_ID" dataDxfId="11"/>
    <tableColumn id="2" xr3:uid="{C6C3FE82-1B12-41A6-A65C-E48069D7A453}" name="Customer_Name" dataDxfId="10"/>
    <tableColumn id="3" xr3:uid="{904C1D49-B22F-4D6B-A8B1-398BB7EEC52D}" name="Region" dataDxfId="9"/>
    <tableColumn id="4" xr3:uid="{0EE70C0A-DB80-4165-906F-3B677785FDC0}" name="Product_Category" dataDxfId="8"/>
    <tableColumn id="5" xr3:uid="{92CD07E4-6946-49D5-95FE-4DB2BE00CABF}" name="Sales" dataDxfId="7"/>
    <tableColumn id="6" xr3:uid="{0EEA1914-AE07-4971-9471-EF6A76271E8A}" name="Quantity" dataDxfId="6"/>
    <tableColumn id="7" xr3:uid="{4ED26BB0-B12B-4889-BEAA-30C575AD1B1A}" name="Discount" dataDxfId="5"/>
    <tableColumn id="8" xr3:uid="{FDD1B13F-4E75-46C1-8D42-28FDA4503580}" name="Order_Date" dataDxfId="4"/>
    <tableColumn id="9" xr3:uid="{73C67F61-B64F-4A0C-967B-C0E71B812A86}" name="Profit" dataDxfId="3"/>
    <tableColumn id="10" xr3:uid="{0593BE4D-6DAA-4F3D-8ED3-B17B95376027}" name="Total Spending" dataDxfId="2">
      <calculatedColumnFormula>SUMIF(Table1[Customer_ID],Table1[[#This Row],[Customer_ID]],Table1[Sales])</calculatedColumnFormula>
    </tableColumn>
    <tableColumn id="11" xr3:uid="{4675AA07-7C63-4FD4-A991-580AB540BA73}" name="Time Stamp" dataDxfId="1">
      <calculatedColumnFormula>NOW()</calculatedColumnFormula>
    </tableColumn>
    <tableColumn id="12" xr3:uid="{E49BBDA3-11F2-4026-B4F5-858AA08E3644}" name="Order_Month" dataDxfId="0">
      <calculatedColumnFormula>TEXT(Table1[[#This Row],[Order_Date]],"mmm")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2"/>
  <sheetViews>
    <sheetView workbookViewId="0">
      <selection activeCell="B5" sqref="B5"/>
    </sheetView>
  </sheetViews>
  <sheetFormatPr defaultRowHeight="15"/>
  <cols>
    <col min="2" max="2" width="14.7109375" bestFit="1" customWidth="1"/>
    <col min="3" max="3" width="18.140625" bestFit="1" customWidth="1"/>
    <col min="4" max="4" width="9.28515625" bestFit="1" customWidth="1"/>
    <col min="5" max="5" width="19.140625" bestFit="1" customWidth="1"/>
    <col min="7" max="8" width="11" bestFit="1" customWidth="1"/>
    <col min="9" max="9" width="13.5703125" bestFit="1" customWidth="1"/>
    <col min="11" max="11" width="16.140625" style="3" customWidth="1"/>
    <col min="12" max="12" width="17.42578125" customWidth="1"/>
    <col min="13" max="13" width="15.140625" customWidth="1"/>
    <col min="14" max="14" width="9" customWidth="1"/>
    <col min="15" max="15" width="15.5703125" bestFit="1" customWidth="1"/>
    <col min="16" max="16" width="12.28515625" customWidth="1"/>
    <col min="17" max="17" width="11.140625" customWidth="1"/>
    <col min="18" max="18" width="24.5703125" bestFit="1" customWidth="1"/>
    <col min="19" max="19" width="14.42578125" customWidth="1"/>
  </cols>
  <sheetData>
    <row r="2" spans="2:19">
      <c r="B2" s="19" t="s">
        <v>0</v>
      </c>
      <c r="C2" s="20" t="s">
        <v>1</v>
      </c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1" t="s">
        <v>8</v>
      </c>
      <c r="K2" s="22" t="s">
        <v>9</v>
      </c>
      <c r="L2" s="20" t="s">
        <v>10</v>
      </c>
      <c r="M2" s="23" t="s">
        <v>11</v>
      </c>
      <c r="O2" s="27" t="s">
        <v>12</v>
      </c>
      <c r="P2" s="27"/>
      <c r="R2" s="28" t="s">
        <v>13</v>
      </c>
      <c r="S2" s="29"/>
    </row>
    <row r="3" spans="2:19">
      <c r="B3" s="1" t="s">
        <v>14</v>
      </c>
      <c r="C3" s="1" t="s">
        <v>15</v>
      </c>
      <c r="D3" s="1" t="s">
        <v>16</v>
      </c>
      <c r="E3" s="1" t="s">
        <v>17</v>
      </c>
      <c r="F3" s="1">
        <v>1036.0899999999999</v>
      </c>
      <c r="G3" s="1">
        <v>4</v>
      </c>
      <c r="H3" s="1">
        <v>0.2</v>
      </c>
      <c r="I3" s="2">
        <v>45392</v>
      </c>
      <c r="J3" s="1">
        <v>331.55</v>
      </c>
      <c r="K3" s="4">
        <f>SUMIF(Table1[Customer_ID],Table1[[#This Row],[Customer_ID]],Table1[Sales])</f>
        <v>4640.1099999999997</v>
      </c>
      <c r="L3" s="18">
        <f t="shared" ref="L3:L34" ca="1" si="0">NOW()</f>
        <v>46111.750599537037</v>
      </c>
      <c r="M3" s="1" t="str">
        <f>TEXT(Table1[[#This Row],[Order_Date]],"mmm")</f>
        <v>Apr</v>
      </c>
      <c r="O3" s="5" t="s">
        <v>0</v>
      </c>
      <c r="P3" s="6" t="s">
        <v>18</v>
      </c>
      <c r="R3" s="13" t="s">
        <v>19</v>
      </c>
      <c r="S3" s="12">
        <f>MAX(Table1[Total Spending])</f>
        <v>11611.060000000001</v>
      </c>
    </row>
    <row r="4" spans="2:19" ht="15.75">
      <c r="B4" s="1" t="s">
        <v>20</v>
      </c>
      <c r="C4" s="1" t="s">
        <v>21</v>
      </c>
      <c r="D4" s="1" t="s">
        <v>16</v>
      </c>
      <c r="E4" s="1" t="s">
        <v>22</v>
      </c>
      <c r="F4" s="1">
        <v>1101.28</v>
      </c>
      <c r="G4" s="1">
        <v>3</v>
      </c>
      <c r="H4" s="1">
        <v>0.2</v>
      </c>
      <c r="I4" s="2">
        <v>45393</v>
      </c>
      <c r="J4" s="1">
        <v>440.51</v>
      </c>
      <c r="K4" s="4">
        <f>SUMIF(Table1[Customer_ID],Table1[[#This Row],[Customer_ID]],Table1[Sales])</f>
        <v>8339</v>
      </c>
      <c r="L4" s="18">
        <f t="shared" ca="1" si="0"/>
        <v>46111.750599537037</v>
      </c>
      <c r="M4" s="1" t="str">
        <f>TEXT(Table1[[#This Row],[Order_Date]],"mmm")</f>
        <v>Apr</v>
      </c>
      <c r="O4" s="6" t="s">
        <v>23</v>
      </c>
      <c r="P4" s="7">
        <v>8490.18</v>
      </c>
      <c r="R4" s="14" t="s">
        <v>24</v>
      </c>
      <c r="S4" s="12" t="str">
        <f>INDEX(Table1[Customer_Name],MATCH(S3,Table1[Total Spending],0))</f>
        <v>Linda Taylor</v>
      </c>
    </row>
    <row r="5" spans="2:19">
      <c r="B5" s="1" t="s">
        <v>25</v>
      </c>
      <c r="C5" s="1" t="s">
        <v>26</v>
      </c>
      <c r="D5" s="1" t="s">
        <v>27</v>
      </c>
      <c r="E5" s="1" t="s">
        <v>17</v>
      </c>
      <c r="F5" s="1">
        <v>713.34</v>
      </c>
      <c r="G5" s="1">
        <v>17</v>
      </c>
      <c r="H5" s="1">
        <v>0</v>
      </c>
      <c r="I5" s="2">
        <v>45396</v>
      </c>
      <c r="J5" s="1">
        <v>285.33999999999997</v>
      </c>
      <c r="K5" s="4">
        <f>SUMIF(Table1[Customer_ID],Table1[[#This Row],[Customer_ID]],Table1[Sales])</f>
        <v>3419.2</v>
      </c>
      <c r="L5" s="18">
        <f t="shared" ca="1" si="0"/>
        <v>46111.750599537037</v>
      </c>
      <c r="M5" s="1" t="str">
        <f>TEXT(Table1[[#This Row],[Order_Date]],"mmm")</f>
        <v>Apr</v>
      </c>
      <c r="O5" s="6" t="s">
        <v>28</v>
      </c>
      <c r="P5" s="7">
        <v>7813.59</v>
      </c>
      <c r="R5" s="13" t="s">
        <v>29</v>
      </c>
      <c r="S5" s="12" t="str">
        <f>INDEX(Table1[Region],MATCH(S3,Table1[Total Spending],0))</f>
        <v>North</v>
      </c>
    </row>
    <row r="6" spans="2:19">
      <c r="B6" s="1" t="s">
        <v>30</v>
      </c>
      <c r="C6" s="1" t="s">
        <v>21</v>
      </c>
      <c r="D6" s="1" t="s">
        <v>31</v>
      </c>
      <c r="E6" s="1" t="s">
        <v>32</v>
      </c>
      <c r="F6" s="1">
        <v>760.93</v>
      </c>
      <c r="G6" s="1">
        <v>4</v>
      </c>
      <c r="H6" s="1">
        <v>0.15</v>
      </c>
      <c r="I6" s="2">
        <v>45396</v>
      </c>
      <c r="J6" s="1">
        <v>161.69999999999999</v>
      </c>
      <c r="K6" s="4">
        <f>SUMIF(Table1[Customer_ID],Table1[[#This Row],[Customer_ID]],Table1[Sales])</f>
        <v>6666.130000000001</v>
      </c>
      <c r="L6" s="18">
        <f t="shared" ca="1" si="0"/>
        <v>46111.750599537037</v>
      </c>
      <c r="M6" s="1" t="str">
        <f>TEXT(Table1[[#This Row],[Order_Date]],"mmm")</f>
        <v>Apr</v>
      </c>
      <c r="O6" s="6" t="s">
        <v>33</v>
      </c>
      <c r="P6" s="7">
        <v>9941.8799999999992</v>
      </c>
      <c r="R6" s="14" t="s">
        <v>34</v>
      </c>
      <c r="S6" s="12">
        <f>INDEX(Table1[Sales],MATCH(S3,Table1[Total Spending],0))</f>
        <v>1200.9000000000001</v>
      </c>
    </row>
    <row r="7" spans="2:19">
      <c r="B7" s="1" t="s">
        <v>35</v>
      </c>
      <c r="C7" s="1" t="s">
        <v>36</v>
      </c>
      <c r="D7" s="1" t="s">
        <v>37</v>
      </c>
      <c r="E7" s="1" t="s">
        <v>17</v>
      </c>
      <c r="F7" s="1">
        <v>847</v>
      </c>
      <c r="G7" s="1">
        <v>12</v>
      </c>
      <c r="H7" s="1">
        <v>0.2</v>
      </c>
      <c r="I7" s="2">
        <v>45397</v>
      </c>
      <c r="J7" s="1">
        <v>271.04000000000002</v>
      </c>
      <c r="K7" s="4">
        <f>SUMIF(Table1[Customer_ID],Table1[[#This Row],[Customer_ID]],Table1[Sales])</f>
        <v>7928.71</v>
      </c>
      <c r="L7" s="18">
        <f t="shared" ca="1" si="0"/>
        <v>46111.750599537037</v>
      </c>
      <c r="M7" s="1" t="str">
        <f>TEXT(Table1[[#This Row],[Order_Date]],"mmm")</f>
        <v>Apr</v>
      </c>
      <c r="O7" s="6" t="s">
        <v>38</v>
      </c>
      <c r="P7" s="7">
        <v>9760.7999999999993</v>
      </c>
    </row>
    <row r="8" spans="2:19">
      <c r="B8" s="1" t="s">
        <v>33</v>
      </c>
      <c r="C8" s="1" t="s">
        <v>39</v>
      </c>
      <c r="D8" s="1" t="s">
        <v>37</v>
      </c>
      <c r="E8" s="1" t="s">
        <v>40</v>
      </c>
      <c r="F8" s="1">
        <v>965.64</v>
      </c>
      <c r="G8" s="1">
        <v>8</v>
      </c>
      <c r="H8" s="1">
        <v>0.1</v>
      </c>
      <c r="I8" s="2">
        <v>45398</v>
      </c>
      <c r="J8" s="1">
        <v>304.18</v>
      </c>
      <c r="K8" s="4">
        <f>SUMIF(Table1[Customer_ID],Table1[[#This Row],[Customer_ID]],Table1[Sales])</f>
        <v>9941.8799999999992</v>
      </c>
      <c r="L8" s="18">
        <f t="shared" ca="1" si="0"/>
        <v>46111.750599537037</v>
      </c>
      <c r="M8" s="1" t="str">
        <f>TEXT(Table1[[#This Row],[Order_Date]],"mmm")</f>
        <v>Apr</v>
      </c>
      <c r="O8" s="6" t="s">
        <v>20</v>
      </c>
      <c r="P8" s="7">
        <v>8339</v>
      </c>
      <c r="R8" s="15" t="s">
        <v>41</v>
      </c>
      <c r="S8" s="16">
        <v>10500</v>
      </c>
    </row>
    <row r="9" spans="2:19">
      <c r="B9" s="1" t="s">
        <v>42</v>
      </c>
      <c r="C9" s="1" t="s">
        <v>43</v>
      </c>
      <c r="D9" s="1" t="s">
        <v>16</v>
      </c>
      <c r="E9" s="1" t="s">
        <v>32</v>
      </c>
      <c r="F9" s="1">
        <v>1317.53</v>
      </c>
      <c r="G9" s="1">
        <v>12</v>
      </c>
      <c r="H9" s="1">
        <v>0.05</v>
      </c>
      <c r="I9" s="2">
        <v>45398</v>
      </c>
      <c r="J9" s="1">
        <v>312.91000000000003</v>
      </c>
      <c r="K9" s="4">
        <f>SUMIF(Table1[Customer_ID],Table1[[#This Row],[Customer_ID]],Table1[Sales])</f>
        <v>6549.55</v>
      </c>
      <c r="L9" s="18">
        <f t="shared" ca="1" si="0"/>
        <v>46111.750599537037</v>
      </c>
      <c r="M9" s="1" t="str">
        <f>TEXT(Table1[[#This Row],[Order_Date]],"mmm")</f>
        <v>Apr</v>
      </c>
      <c r="O9" s="6" t="s">
        <v>44</v>
      </c>
      <c r="P9" s="7">
        <v>11611.060000000001</v>
      </c>
      <c r="R9" s="10" t="s">
        <v>45</v>
      </c>
      <c r="S9" s="11">
        <f>COUNTIF(Table1[Total Spending],"&gt;"&amp;S8)</f>
        <v>11</v>
      </c>
    </row>
    <row r="10" spans="2:19">
      <c r="B10" s="1" t="s">
        <v>46</v>
      </c>
      <c r="C10" s="1" t="s">
        <v>47</v>
      </c>
      <c r="D10" s="1" t="s">
        <v>27</v>
      </c>
      <c r="E10" s="1" t="s">
        <v>40</v>
      </c>
      <c r="F10" s="1">
        <v>1074.47</v>
      </c>
      <c r="G10" s="1">
        <v>6</v>
      </c>
      <c r="H10" s="1">
        <v>0.2</v>
      </c>
      <c r="I10" s="2">
        <v>45401</v>
      </c>
      <c r="J10" s="1">
        <v>300.85000000000002</v>
      </c>
      <c r="K10" s="4">
        <f>SUMIF(Table1[Customer_ID],Table1[[#This Row],[Customer_ID]],Table1[Sales])</f>
        <v>9371.81</v>
      </c>
      <c r="L10" s="18">
        <f t="shared" ca="1" si="0"/>
        <v>46111.750599537037</v>
      </c>
      <c r="M10" s="1" t="str">
        <f>TEXT(Table1[[#This Row],[Order_Date]],"mmm")</f>
        <v>Apr</v>
      </c>
      <c r="O10" s="6" t="s">
        <v>48</v>
      </c>
      <c r="P10" s="7">
        <v>8740.18</v>
      </c>
    </row>
    <row r="11" spans="2:19">
      <c r="B11" s="1" t="s">
        <v>49</v>
      </c>
      <c r="C11" s="1" t="s">
        <v>50</v>
      </c>
      <c r="D11" s="1" t="s">
        <v>51</v>
      </c>
      <c r="E11" s="1" t="s">
        <v>17</v>
      </c>
      <c r="F11" s="1">
        <v>501.54</v>
      </c>
      <c r="G11" s="1">
        <v>11</v>
      </c>
      <c r="H11" s="1">
        <v>0.05</v>
      </c>
      <c r="I11" s="2">
        <v>45401</v>
      </c>
      <c r="J11" s="1">
        <v>190.59</v>
      </c>
      <c r="K11" s="4">
        <f>SUMIF(Table1[Customer_ID],Table1[[#This Row],[Customer_ID]],Table1[Sales])</f>
        <v>6505.2</v>
      </c>
      <c r="L11" s="18">
        <f t="shared" ca="1" si="0"/>
        <v>46111.750599537037</v>
      </c>
      <c r="M11" s="1" t="str">
        <f>TEXT(Table1[[#This Row],[Order_Date]],"mmm")</f>
        <v>Apr</v>
      </c>
      <c r="O11" s="6" t="s">
        <v>46</v>
      </c>
      <c r="P11" s="7">
        <v>9371.81</v>
      </c>
    </row>
    <row r="12" spans="2:19">
      <c r="B12" s="1" t="s">
        <v>52</v>
      </c>
      <c r="C12" s="1" t="s">
        <v>53</v>
      </c>
      <c r="D12" s="1" t="s">
        <v>51</v>
      </c>
      <c r="E12" s="1" t="s">
        <v>22</v>
      </c>
      <c r="F12" s="1">
        <v>737.31</v>
      </c>
      <c r="G12" s="1">
        <v>2</v>
      </c>
      <c r="H12" s="1">
        <v>0.05</v>
      </c>
      <c r="I12" s="2">
        <v>45401</v>
      </c>
      <c r="J12" s="1">
        <v>350.22</v>
      </c>
      <c r="K12" s="4">
        <f>SUMIF(Table1[Customer_ID],Table1[[#This Row],[Customer_ID]],Table1[Sales])</f>
        <v>4259.22</v>
      </c>
      <c r="L12" s="18">
        <f t="shared" ca="1" si="0"/>
        <v>46111.750599537037</v>
      </c>
      <c r="M12" s="1" t="str">
        <f>TEXT(Table1[[#This Row],[Order_Date]],"mmm")</f>
        <v>Apr</v>
      </c>
      <c r="O12" s="6" t="s">
        <v>54</v>
      </c>
      <c r="P12" s="7">
        <v>10293.870000000001</v>
      </c>
    </row>
    <row r="13" spans="2:19">
      <c r="B13" s="1" t="s">
        <v>55</v>
      </c>
      <c r="C13" s="1" t="s">
        <v>56</v>
      </c>
      <c r="D13" s="1" t="s">
        <v>16</v>
      </c>
      <c r="E13" s="1" t="s">
        <v>57</v>
      </c>
      <c r="F13" s="1">
        <v>1572.82</v>
      </c>
      <c r="G13" s="1">
        <v>6</v>
      </c>
      <c r="H13" s="1">
        <v>0.05</v>
      </c>
      <c r="I13" s="2">
        <v>45402</v>
      </c>
      <c r="J13" s="1">
        <v>672.38</v>
      </c>
      <c r="K13" s="4">
        <f>SUMIF(Table1[Customer_ID],Table1[[#This Row],[Customer_ID]],Table1[Sales])</f>
        <v>6729.8899999999994</v>
      </c>
      <c r="L13" s="18">
        <f t="shared" ca="1" si="0"/>
        <v>46111.750599537037</v>
      </c>
      <c r="M13" s="1" t="str">
        <f>TEXT(Table1[[#This Row],[Order_Date]],"mmm")</f>
        <v>Apr</v>
      </c>
      <c r="O13" s="6" t="s">
        <v>35</v>
      </c>
      <c r="P13" s="7">
        <v>7928.71</v>
      </c>
    </row>
    <row r="14" spans="2:19">
      <c r="B14" s="1" t="s">
        <v>55</v>
      </c>
      <c r="C14" s="1" t="s">
        <v>53</v>
      </c>
      <c r="D14" s="1" t="s">
        <v>51</v>
      </c>
      <c r="E14" s="1" t="s">
        <v>17</v>
      </c>
      <c r="F14" s="1">
        <v>1343.13</v>
      </c>
      <c r="G14" s="1">
        <v>14</v>
      </c>
      <c r="H14" s="1">
        <v>0.15</v>
      </c>
      <c r="I14" s="2">
        <v>45404</v>
      </c>
      <c r="J14" s="1">
        <v>456.66</v>
      </c>
      <c r="K14" s="4">
        <f>SUMIF(Table1[Customer_ID],Table1[[#This Row],[Customer_ID]],Table1[Sales])</f>
        <v>6729.8899999999994</v>
      </c>
      <c r="L14" s="18">
        <f t="shared" ca="1" si="0"/>
        <v>46111.750599537037</v>
      </c>
      <c r="M14" s="1" t="str">
        <f>TEXT(Table1[[#This Row],[Order_Date]],"mmm")</f>
        <v>Apr</v>
      </c>
      <c r="O14" s="8" t="s">
        <v>58</v>
      </c>
      <c r="P14" s="9">
        <v>92291.08</v>
      </c>
    </row>
    <row r="15" spans="2:19">
      <c r="B15" s="1" t="s">
        <v>33</v>
      </c>
      <c r="C15" s="1" t="s">
        <v>39</v>
      </c>
      <c r="D15" s="1" t="s">
        <v>51</v>
      </c>
      <c r="E15" s="1" t="s">
        <v>17</v>
      </c>
      <c r="F15" s="1">
        <v>1191.58</v>
      </c>
      <c r="G15" s="1">
        <v>14</v>
      </c>
      <c r="H15" s="1">
        <v>0.05</v>
      </c>
      <c r="I15" s="2">
        <v>45406</v>
      </c>
      <c r="J15" s="1">
        <v>452.8</v>
      </c>
      <c r="K15" s="4">
        <f>SUMIF(Table1[Customer_ID],Table1[[#This Row],[Customer_ID]],Table1[Sales])</f>
        <v>9941.8799999999992</v>
      </c>
      <c r="L15" s="18">
        <f t="shared" ca="1" si="0"/>
        <v>46111.750599537037</v>
      </c>
      <c r="M15" s="1" t="str">
        <f>TEXT(Table1[[#This Row],[Order_Date]],"mmm")</f>
        <v>Apr</v>
      </c>
    </row>
    <row r="16" spans="2:19">
      <c r="B16" s="1" t="s">
        <v>59</v>
      </c>
      <c r="C16" s="1" t="s">
        <v>21</v>
      </c>
      <c r="D16" s="1" t="s">
        <v>16</v>
      </c>
      <c r="E16" s="1" t="s">
        <v>40</v>
      </c>
      <c r="F16" s="1">
        <v>822.28</v>
      </c>
      <c r="G16" s="1">
        <v>7</v>
      </c>
      <c r="H16" s="1">
        <v>0.05</v>
      </c>
      <c r="I16" s="2">
        <v>45406</v>
      </c>
      <c r="J16" s="1">
        <v>273.41000000000003</v>
      </c>
      <c r="K16" s="4">
        <f>SUMIF(Table1[Customer_ID],Table1[[#This Row],[Customer_ID]],Table1[Sales])</f>
        <v>5913.68</v>
      </c>
      <c r="L16" s="18">
        <f t="shared" ca="1" si="0"/>
        <v>46111.750599537037</v>
      </c>
      <c r="M16" s="1" t="str">
        <f>TEXT(Table1[[#This Row],[Order_Date]],"mmm")</f>
        <v>Apr</v>
      </c>
    </row>
    <row r="17" spans="2:13">
      <c r="B17" s="1" t="s">
        <v>60</v>
      </c>
      <c r="C17" s="1" t="s">
        <v>61</v>
      </c>
      <c r="D17" s="1" t="s">
        <v>37</v>
      </c>
      <c r="E17" s="1" t="s">
        <v>40</v>
      </c>
      <c r="F17" s="1">
        <v>521.66999999999996</v>
      </c>
      <c r="G17" s="1">
        <v>15</v>
      </c>
      <c r="H17" s="1">
        <v>0.15</v>
      </c>
      <c r="I17" s="2">
        <v>45409</v>
      </c>
      <c r="J17" s="1">
        <v>155.19999999999999</v>
      </c>
      <c r="K17" s="4">
        <f>SUMIF(Table1[Customer_ID],Table1[[#This Row],[Customer_ID]],Table1[Sales])</f>
        <v>5779.05</v>
      </c>
      <c r="L17" s="18">
        <f t="shared" ca="1" si="0"/>
        <v>46111.750599537037</v>
      </c>
      <c r="M17" s="1" t="str">
        <f>TEXT(Table1[[#This Row],[Order_Date]],"mmm")</f>
        <v>Apr</v>
      </c>
    </row>
    <row r="18" spans="2:13">
      <c r="B18" s="1" t="s">
        <v>30</v>
      </c>
      <c r="C18" s="1" t="s">
        <v>62</v>
      </c>
      <c r="D18" s="1" t="s">
        <v>31</v>
      </c>
      <c r="E18" s="1" t="s">
        <v>32</v>
      </c>
      <c r="F18" s="1">
        <v>1502.93</v>
      </c>
      <c r="G18" s="1">
        <v>14</v>
      </c>
      <c r="H18" s="1">
        <v>0.2</v>
      </c>
      <c r="I18" s="2">
        <v>45410</v>
      </c>
      <c r="J18" s="1">
        <v>300.58999999999997</v>
      </c>
      <c r="K18" s="4">
        <f>SUMIF(Table1[Customer_ID],Table1[[#This Row],[Customer_ID]],Table1[Sales])</f>
        <v>6666.130000000001</v>
      </c>
      <c r="L18" s="18">
        <f t="shared" ca="1" si="0"/>
        <v>46111.750599537037</v>
      </c>
      <c r="M18" s="1" t="str">
        <f>TEXT(Table1[[#This Row],[Order_Date]],"mmm")</f>
        <v>Apr</v>
      </c>
    </row>
    <row r="19" spans="2:13">
      <c r="B19" s="1" t="s">
        <v>38</v>
      </c>
      <c r="C19" s="1" t="s">
        <v>21</v>
      </c>
      <c r="D19" s="1" t="s">
        <v>31</v>
      </c>
      <c r="E19" s="1" t="s">
        <v>17</v>
      </c>
      <c r="F19" s="1">
        <v>877.58</v>
      </c>
      <c r="G19" s="1">
        <v>10</v>
      </c>
      <c r="H19" s="1">
        <v>0.15</v>
      </c>
      <c r="I19" s="2">
        <v>45411</v>
      </c>
      <c r="J19" s="1">
        <v>298.38</v>
      </c>
      <c r="K19" s="4">
        <f>SUMIF(Table1[Customer_ID],Table1[[#This Row],[Customer_ID]],Table1[Sales])</f>
        <v>9760.7999999999993</v>
      </c>
      <c r="L19" s="18">
        <f t="shared" ca="1" si="0"/>
        <v>46111.750599537037</v>
      </c>
      <c r="M19" s="1" t="str">
        <f>TEXT(Table1[[#This Row],[Order_Date]],"mmm")</f>
        <v>Apr</v>
      </c>
    </row>
    <row r="20" spans="2:13">
      <c r="B20" s="1" t="s">
        <v>42</v>
      </c>
      <c r="C20" s="1" t="s">
        <v>63</v>
      </c>
      <c r="D20" s="1" t="s">
        <v>16</v>
      </c>
      <c r="E20" s="1" t="s">
        <v>17</v>
      </c>
      <c r="F20" s="1">
        <v>636.70000000000005</v>
      </c>
      <c r="G20" s="1">
        <v>4</v>
      </c>
      <c r="H20" s="1">
        <v>0.2</v>
      </c>
      <c r="I20" s="2">
        <v>45411</v>
      </c>
      <c r="J20" s="1">
        <v>203.74</v>
      </c>
      <c r="K20" s="4">
        <f>SUMIF(Table1[Customer_ID],Table1[[#This Row],[Customer_ID]],Table1[Sales])</f>
        <v>6549.55</v>
      </c>
      <c r="L20" s="18">
        <f t="shared" ca="1" si="0"/>
        <v>46111.750599537037</v>
      </c>
      <c r="M20" s="1" t="str">
        <f>TEXT(Table1[[#This Row],[Order_Date]],"mmm")</f>
        <v>Apr</v>
      </c>
    </row>
    <row r="21" spans="2:13">
      <c r="B21" s="1" t="s">
        <v>64</v>
      </c>
      <c r="C21" s="1" t="s">
        <v>65</v>
      </c>
      <c r="D21" s="1" t="s">
        <v>16</v>
      </c>
      <c r="E21" s="1" t="s">
        <v>17</v>
      </c>
      <c r="F21" s="1">
        <v>1506.14</v>
      </c>
      <c r="G21" s="1">
        <v>13</v>
      </c>
      <c r="H21" s="1">
        <v>0.2</v>
      </c>
      <c r="I21" s="2">
        <v>45412</v>
      </c>
      <c r="J21" s="1">
        <v>481.96</v>
      </c>
      <c r="K21" s="4">
        <f>SUMIF(Table1[Customer_ID],Table1[[#This Row],[Customer_ID]],Table1[Sales])</f>
        <v>2699.75</v>
      </c>
      <c r="L21" s="18">
        <f t="shared" ca="1" si="0"/>
        <v>46111.750599537037</v>
      </c>
      <c r="M21" s="1" t="str">
        <f>TEXT(Table1[[#This Row],[Order_Date]],"mmm")</f>
        <v>Apr</v>
      </c>
    </row>
    <row r="22" spans="2:13">
      <c r="B22" s="1" t="s">
        <v>46</v>
      </c>
      <c r="C22" s="1" t="s">
        <v>47</v>
      </c>
      <c r="D22" s="1" t="s">
        <v>51</v>
      </c>
      <c r="E22" s="1" t="s">
        <v>32</v>
      </c>
      <c r="F22" s="1">
        <v>645.02</v>
      </c>
      <c r="G22" s="1">
        <v>4</v>
      </c>
      <c r="H22" s="1">
        <v>0</v>
      </c>
      <c r="I22" s="2">
        <v>45414</v>
      </c>
      <c r="J22" s="1">
        <v>161.26</v>
      </c>
      <c r="K22" s="4">
        <f>SUMIF(Table1[Customer_ID],Table1[[#This Row],[Customer_ID]],Table1[Sales])</f>
        <v>9371.81</v>
      </c>
      <c r="L22" s="18">
        <f t="shared" ca="1" si="0"/>
        <v>46111.750599537037</v>
      </c>
      <c r="M22" s="1" t="str">
        <f>TEXT(Table1[[#This Row],[Order_Date]],"mmm")</f>
        <v>May</v>
      </c>
    </row>
    <row r="23" spans="2:13">
      <c r="B23" s="1" t="s">
        <v>33</v>
      </c>
      <c r="C23" s="1" t="s">
        <v>66</v>
      </c>
      <c r="D23" s="1" t="s">
        <v>31</v>
      </c>
      <c r="E23" s="1" t="s">
        <v>22</v>
      </c>
      <c r="F23" s="1">
        <v>953.3</v>
      </c>
      <c r="G23" s="1">
        <v>11</v>
      </c>
      <c r="H23" s="1">
        <v>0</v>
      </c>
      <c r="I23" s="2">
        <v>45415</v>
      </c>
      <c r="J23" s="1">
        <v>476.65</v>
      </c>
      <c r="K23" s="4">
        <f>SUMIF(Table1[Customer_ID],Table1[[#This Row],[Customer_ID]],Table1[Sales])</f>
        <v>9941.8799999999992</v>
      </c>
      <c r="L23" s="18">
        <f t="shared" ca="1" si="0"/>
        <v>46111.750599537037</v>
      </c>
      <c r="M23" s="1" t="str">
        <f>TEXT(Table1[[#This Row],[Order_Date]],"mmm")</f>
        <v>May</v>
      </c>
    </row>
    <row r="24" spans="2:13">
      <c r="B24" s="1" t="s">
        <v>67</v>
      </c>
      <c r="C24" s="1" t="s">
        <v>21</v>
      </c>
      <c r="D24" s="1" t="s">
        <v>37</v>
      </c>
      <c r="E24" s="1" t="s">
        <v>32</v>
      </c>
      <c r="F24" s="1">
        <v>388.56</v>
      </c>
      <c r="G24" s="1">
        <v>14</v>
      </c>
      <c r="H24" s="1">
        <v>0.15</v>
      </c>
      <c r="I24" s="2">
        <v>45416</v>
      </c>
      <c r="J24" s="1">
        <v>82.57</v>
      </c>
      <c r="K24" s="4">
        <f>SUMIF(Table1[Customer_ID],Table1[[#This Row],[Customer_ID]],Table1[Sales])</f>
        <v>4418.2800000000007</v>
      </c>
      <c r="L24" s="18">
        <f t="shared" ca="1" si="0"/>
        <v>46111.750599537037</v>
      </c>
      <c r="M24" s="1" t="str">
        <f>TEXT(Table1[[#This Row],[Order_Date]],"mmm")</f>
        <v>May</v>
      </c>
    </row>
    <row r="25" spans="2:13">
      <c r="B25" s="1" t="s">
        <v>14</v>
      </c>
      <c r="C25" s="1" t="s">
        <v>47</v>
      </c>
      <c r="D25" s="1" t="s">
        <v>16</v>
      </c>
      <c r="E25" s="1" t="s">
        <v>17</v>
      </c>
      <c r="F25" s="1">
        <v>743.17</v>
      </c>
      <c r="G25" s="1">
        <v>9</v>
      </c>
      <c r="H25" s="1">
        <v>0</v>
      </c>
      <c r="I25" s="2">
        <v>45416</v>
      </c>
      <c r="J25" s="1">
        <v>297.27</v>
      </c>
      <c r="K25" s="4">
        <f>SUMIF(Table1[Customer_ID],Table1[[#This Row],[Customer_ID]],Table1[Sales])</f>
        <v>4640.1099999999997</v>
      </c>
      <c r="L25" s="18">
        <f t="shared" ca="1" si="0"/>
        <v>46111.750599537037</v>
      </c>
      <c r="M25" s="1" t="str">
        <f>TEXT(Table1[[#This Row],[Order_Date]],"mmm")</f>
        <v>May</v>
      </c>
    </row>
    <row r="26" spans="2:13">
      <c r="B26" s="1" t="s">
        <v>59</v>
      </c>
      <c r="C26" s="1" t="s">
        <v>47</v>
      </c>
      <c r="D26" s="1" t="s">
        <v>51</v>
      </c>
      <c r="E26" s="1" t="s">
        <v>32</v>
      </c>
      <c r="F26" s="1">
        <v>706.37</v>
      </c>
      <c r="G26" s="1">
        <v>6</v>
      </c>
      <c r="H26" s="1">
        <v>0</v>
      </c>
      <c r="I26" s="2">
        <v>45416</v>
      </c>
      <c r="J26" s="1">
        <v>176.59</v>
      </c>
      <c r="K26" s="4">
        <f>SUMIF(Table1[Customer_ID],Table1[[#This Row],[Customer_ID]],Table1[Sales])</f>
        <v>5913.68</v>
      </c>
      <c r="L26" s="18">
        <f t="shared" ca="1" si="0"/>
        <v>46111.750599537037</v>
      </c>
      <c r="M26" s="1" t="str">
        <f>TEXT(Table1[[#This Row],[Order_Date]],"mmm")</f>
        <v>May</v>
      </c>
    </row>
    <row r="27" spans="2:13">
      <c r="B27" s="1" t="s">
        <v>20</v>
      </c>
      <c r="C27" s="1" t="s">
        <v>47</v>
      </c>
      <c r="D27" s="1" t="s">
        <v>51</v>
      </c>
      <c r="E27" s="1" t="s">
        <v>57</v>
      </c>
      <c r="F27" s="1">
        <v>925.31</v>
      </c>
      <c r="G27" s="1">
        <v>8</v>
      </c>
      <c r="H27" s="1">
        <v>0.1</v>
      </c>
      <c r="I27" s="2">
        <v>45418</v>
      </c>
      <c r="J27" s="1">
        <v>374.75</v>
      </c>
      <c r="K27" s="4">
        <f>SUMIF(Table1[Customer_ID],Table1[[#This Row],[Customer_ID]],Table1[Sales])</f>
        <v>8339</v>
      </c>
      <c r="L27" s="18">
        <f t="shared" ca="1" si="0"/>
        <v>46111.750599537037</v>
      </c>
      <c r="M27" s="1" t="str">
        <f>TEXT(Table1[[#This Row],[Order_Date]],"mmm")</f>
        <v>May</v>
      </c>
    </row>
    <row r="28" spans="2:13">
      <c r="B28" s="1" t="s">
        <v>52</v>
      </c>
      <c r="C28" s="1" t="s">
        <v>68</v>
      </c>
      <c r="D28" s="1" t="s">
        <v>31</v>
      </c>
      <c r="E28" s="1" t="s">
        <v>32</v>
      </c>
      <c r="F28" s="1">
        <v>1173.1199999999999</v>
      </c>
      <c r="G28" s="1">
        <v>18</v>
      </c>
      <c r="H28" s="1">
        <v>0</v>
      </c>
      <c r="I28" s="2">
        <v>45418</v>
      </c>
      <c r="J28" s="1">
        <v>293.27999999999997</v>
      </c>
      <c r="K28" s="4">
        <f>SUMIF(Table1[Customer_ID],Table1[[#This Row],[Customer_ID]],Table1[Sales])</f>
        <v>4259.22</v>
      </c>
      <c r="L28" s="18">
        <f t="shared" ca="1" si="0"/>
        <v>46111.750599537037</v>
      </c>
      <c r="M28" s="1" t="str">
        <f>TEXT(Table1[[#This Row],[Order_Date]],"mmm")</f>
        <v>May</v>
      </c>
    </row>
    <row r="29" spans="2:13">
      <c r="B29" s="1" t="s">
        <v>35</v>
      </c>
      <c r="C29" s="1" t="s">
        <v>69</v>
      </c>
      <c r="D29" s="1" t="s">
        <v>37</v>
      </c>
      <c r="E29" s="1" t="s">
        <v>40</v>
      </c>
      <c r="F29" s="1">
        <v>675.54</v>
      </c>
      <c r="G29" s="1">
        <v>17</v>
      </c>
      <c r="H29" s="1">
        <v>0</v>
      </c>
      <c r="I29" s="2">
        <v>45420</v>
      </c>
      <c r="J29" s="1">
        <v>236.44</v>
      </c>
      <c r="K29" s="4">
        <f>SUMIF(Table1[Customer_ID],Table1[[#This Row],[Customer_ID]],Table1[Sales])</f>
        <v>7928.71</v>
      </c>
      <c r="L29" s="18">
        <f t="shared" ca="1" si="0"/>
        <v>46111.750599537037</v>
      </c>
      <c r="M29" s="1" t="str">
        <f>TEXT(Table1[[#This Row],[Order_Date]],"mmm")</f>
        <v>May</v>
      </c>
    </row>
    <row r="30" spans="2:13">
      <c r="B30" s="1" t="s">
        <v>33</v>
      </c>
      <c r="C30" s="1" t="s">
        <v>21</v>
      </c>
      <c r="D30" s="1" t="s">
        <v>51</v>
      </c>
      <c r="E30" s="1" t="s">
        <v>17</v>
      </c>
      <c r="F30" s="1">
        <v>939.09</v>
      </c>
      <c r="G30" s="1">
        <v>2</v>
      </c>
      <c r="H30" s="1">
        <v>0.05</v>
      </c>
      <c r="I30" s="2">
        <v>45422</v>
      </c>
      <c r="J30" s="1">
        <v>356.85</v>
      </c>
      <c r="K30" s="4">
        <f>SUMIF(Table1[Customer_ID],Table1[[#This Row],[Customer_ID]],Table1[Sales])</f>
        <v>9941.8799999999992</v>
      </c>
      <c r="L30" s="18">
        <f t="shared" ca="1" si="0"/>
        <v>46111.750599537037</v>
      </c>
      <c r="M30" s="1" t="str">
        <f>TEXT(Table1[[#This Row],[Order_Date]],"mmm")</f>
        <v>May</v>
      </c>
    </row>
    <row r="31" spans="2:13">
      <c r="B31" s="1" t="s">
        <v>54</v>
      </c>
      <c r="C31" s="1" t="s">
        <v>70</v>
      </c>
      <c r="D31" s="1" t="s">
        <v>27</v>
      </c>
      <c r="E31" s="1" t="s">
        <v>57</v>
      </c>
      <c r="F31" s="1">
        <v>983.34</v>
      </c>
      <c r="G31" s="1">
        <v>19</v>
      </c>
      <c r="H31" s="1">
        <v>0.1</v>
      </c>
      <c r="I31" s="2">
        <v>45426</v>
      </c>
      <c r="J31" s="1">
        <v>398.25</v>
      </c>
      <c r="K31" s="4">
        <f>SUMIF(Table1[Customer_ID],Table1[[#This Row],[Customer_ID]],Table1[Sales])</f>
        <v>10293.870000000001</v>
      </c>
      <c r="L31" s="18">
        <f t="shared" ca="1" si="0"/>
        <v>46111.750599537037</v>
      </c>
      <c r="M31" s="1" t="str">
        <f>TEXT(Table1[[#This Row],[Order_Date]],"mmm")</f>
        <v>May</v>
      </c>
    </row>
    <row r="32" spans="2:13">
      <c r="B32" s="1" t="s">
        <v>54</v>
      </c>
      <c r="C32" s="1" t="s">
        <v>36</v>
      </c>
      <c r="D32" s="1" t="s">
        <v>31</v>
      </c>
      <c r="E32" s="1" t="s">
        <v>32</v>
      </c>
      <c r="F32" s="1">
        <v>801.21</v>
      </c>
      <c r="G32" s="1">
        <v>3</v>
      </c>
      <c r="H32" s="1">
        <v>0.2</v>
      </c>
      <c r="I32" s="2">
        <v>45426</v>
      </c>
      <c r="J32" s="1">
        <v>160.24</v>
      </c>
      <c r="K32" s="4">
        <f>SUMIF(Table1[Customer_ID],Table1[[#This Row],[Customer_ID]],Table1[Sales])</f>
        <v>10293.870000000001</v>
      </c>
      <c r="L32" s="18">
        <f t="shared" ca="1" si="0"/>
        <v>46111.750599537037</v>
      </c>
      <c r="M32" s="1" t="str">
        <f>TEXT(Table1[[#This Row],[Order_Date]],"mmm")</f>
        <v>May</v>
      </c>
    </row>
    <row r="33" spans="2:13">
      <c r="B33" s="1" t="s">
        <v>71</v>
      </c>
      <c r="C33" s="1" t="s">
        <v>72</v>
      </c>
      <c r="D33" s="1" t="s">
        <v>37</v>
      </c>
      <c r="E33" s="1" t="s">
        <v>32</v>
      </c>
      <c r="F33" s="1">
        <v>1450.71</v>
      </c>
      <c r="G33" s="1">
        <v>5</v>
      </c>
      <c r="H33" s="1">
        <v>0.1</v>
      </c>
      <c r="I33" s="2">
        <v>45427</v>
      </c>
      <c r="J33" s="1">
        <v>326.41000000000003</v>
      </c>
      <c r="K33" s="4">
        <f>SUMIF(Table1[Customer_ID],Table1[[#This Row],[Customer_ID]],Table1[Sales])</f>
        <v>6716.52</v>
      </c>
      <c r="L33" s="18">
        <f t="shared" ca="1" si="0"/>
        <v>46111.750599537037</v>
      </c>
      <c r="M33" s="1" t="str">
        <f>TEXT(Table1[[#This Row],[Order_Date]],"mmm")</f>
        <v>May</v>
      </c>
    </row>
    <row r="34" spans="2:13">
      <c r="B34" s="1" t="s">
        <v>67</v>
      </c>
      <c r="C34" s="1" t="s">
        <v>73</v>
      </c>
      <c r="D34" s="1" t="s">
        <v>51</v>
      </c>
      <c r="E34" s="1" t="s">
        <v>17</v>
      </c>
      <c r="F34" s="1">
        <v>1023.21</v>
      </c>
      <c r="G34" s="1">
        <v>18</v>
      </c>
      <c r="H34" s="1">
        <v>0.05</v>
      </c>
      <c r="I34" s="2">
        <v>45428</v>
      </c>
      <c r="J34" s="1">
        <v>388.82</v>
      </c>
      <c r="K34" s="4">
        <f>SUMIF(Table1[Customer_ID],Table1[[#This Row],[Customer_ID]],Table1[Sales])</f>
        <v>4418.2800000000007</v>
      </c>
      <c r="L34" s="18">
        <f t="shared" ca="1" si="0"/>
        <v>46111.750599537037</v>
      </c>
      <c r="M34" s="1" t="str">
        <f>TEXT(Table1[[#This Row],[Order_Date]],"mmm")</f>
        <v>May</v>
      </c>
    </row>
    <row r="35" spans="2:13">
      <c r="B35" s="1" t="s">
        <v>42</v>
      </c>
      <c r="C35" s="1" t="s">
        <v>65</v>
      </c>
      <c r="D35" s="1" t="s">
        <v>16</v>
      </c>
      <c r="E35" s="1" t="s">
        <v>40</v>
      </c>
      <c r="F35" s="1">
        <v>853.72</v>
      </c>
      <c r="G35" s="1">
        <v>5</v>
      </c>
      <c r="H35" s="1">
        <v>0.15</v>
      </c>
      <c r="I35" s="2">
        <v>45428</v>
      </c>
      <c r="J35" s="1">
        <v>253.98</v>
      </c>
      <c r="K35" s="4">
        <f>SUMIF(Table1[Customer_ID],Table1[[#This Row],[Customer_ID]],Table1[Sales])</f>
        <v>6549.55</v>
      </c>
      <c r="L35" s="18">
        <f t="shared" ref="L35:L66" ca="1" si="1">NOW()</f>
        <v>46111.750599537037</v>
      </c>
      <c r="M35" s="1" t="str">
        <f>TEXT(Table1[[#This Row],[Order_Date]],"mmm")</f>
        <v>May</v>
      </c>
    </row>
    <row r="36" spans="2:13">
      <c r="B36" s="1" t="s">
        <v>48</v>
      </c>
      <c r="C36" s="1" t="s">
        <v>62</v>
      </c>
      <c r="D36" s="1" t="s">
        <v>31</v>
      </c>
      <c r="E36" s="1" t="s">
        <v>32</v>
      </c>
      <c r="F36" s="1">
        <v>967.89</v>
      </c>
      <c r="G36" s="1">
        <v>10</v>
      </c>
      <c r="H36" s="1">
        <v>0.1</v>
      </c>
      <c r="I36" s="2">
        <v>45429</v>
      </c>
      <c r="J36" s="1">
        <v>217.78</v>
      </c>
      <c r="K36" s="4">
        <f>SUMIF(Table1[Customer_ID],Table1[[#This Row],[Customer_ID]],Table1[Sales])</f>
        <v>8740.18</v>
      </c>
      <c r="L36" s="18">
        <f t="shared" ca="1" si="1"/>
        <v>46111.750599537037</v>
      </c>
      <c r="M36" s="1" t="str">
        <f>TEXT(Table1[[#This Row],[Order_Date]],"mmm")</f>
        <v>May</v>
      </c>
    </row>
    <row r="37" spans="2:13">
      <c r="B37" s="1" t="s">
        <v>44</v>
      </c>
      <c r="C37" s="1" t="s">
        <v>70</v>
      </c>
      <c r="D37" s="1" t="s">
        <v>37</v>
      </c>
      <c r="E37" s="1" t="s">
        <v>57</v>
      </c>
      <c r="F37" s="1">
        <v>1200.9000000000001</v>
      </c>
      <c r="G37" s="1">
        <v>14</v>
      </c>
      <c r="H37" s="1">
        <v>0.05</v>
      </c>
      <c r="I37" s="2">
        <v>45429</v>
      </c>
      <c r="J37" s="1">
        <v>513.38</v>
      </c>
      <c r="K37" s="4">
        <f>SUMIF(Table1[Customer_ID],Table1[[#This Row],[Customer_ID]],Table1[Sales])</f>
        <v>11611.060000000001</v>
      </c>
      <c r="L37" s="18">
        <f t="shared" ca="1" si="1"/>
        <v>46111.750599537037</v>
      </c>
      <c r="M37" s="1" t="str">
        <f>TEXT(Table1[[#This Row],[Order_Date]],"mmm")</f>
        <v>May</v>
      </c>
    </row>
    <row r="38" spans="2:13">
      <c r="B38" s="1" t="s">
        <v>20</v>
      </c>
      <c r="C38" s="1" t="s">
        <v>39</v>
      </c>
      <c r="D38" s="1" t="s">
        <v>16</v>
      </c>
      <c r="E38" s="1" t="s">
        <v>17</v>
      </c>
      <c r="F38" s="1">
        <v>472.38</v>
      </c>
      <c r="G38" s="1">
        <v>12</v>
      </c>
      <c r="H38" s="1">
        <v>0.2</v>
      </c>
      <c r="I38" s="2">
        <v>45429</v>
      </c>
      <c r="J38" s="1">
        <v>151.16</v>
      </c>
      <c r="K38" s="4">
        <f>SUMIF(Table1[Customer_ID],Table1[[#This Row],[Customer_ID]],Table1[Sales])</f>
        <v>8339</v>
      </c>
      <c r="L38" s="18">
        <f t="shared" ca="1" si="1"/>
        <v>46111.750599537037</v>
      </c>
      <c r="M38" s="1" t="str">
        <f>TEXT(Table1[[#This Row],[Order_Date]],"mmm")</f>
        <v>May</v>
      </c>
    </row>
    <row r="39" spans="2:13">
      <c r="B39" s="1" t="s">
        <v>14</v>
      </c>
      <c r="C39" s="1" t="s">
        <v>72</v>
      </c>
      <c r="D39" s="1" t="s">
        <v>27</v>
      </c>
      <c r="E39" s="1" t="s">
        <v>57</v>
      </c>
      <c r="F39" s="1">
        <v>840.92</v>
      </c>
      <c r="G39" s="1">
        <v>9</v>
      </c>
      <c r="H39" s="1">
        <v>0.05</v>
      </c>
      <c r="I39" s="2">
        <v>45429</v>
      </c>
      <c r="J39" s="1">
        <v>359.49</v>
      </c>
      <c r="K39" s="4">
        <f>SUMIF(Table1[Customer_ID],Table1[[#This Row],[Customer_ID]],Table1[Sales])</f>
        <v>4640.1099999999997</v>
      </c>
      <c r="L39" s="18">
        <f t="shared" ca="1" si="1"/>
        <v>46111.750599537037</v>
      </c>
      <c r="M39" s="1" t="str">
        <f>TEXT(Table1[[#This Row],[Order_Date]],"mmm")</f>
        <v>May</v>
      </c>
    </row>
    <row r="40" spans="2:13">
      <c r="B40" s="1" t="s">
        <v>54</v>
      </c>
      <c r="C40" s="1" t="s">
        <v>66</v>
      </c>
      <c r="D40" s="1" t="s">
        <v>51</v>
      </c>
      <c r="E40" s="1" t="s">
        <v>40</v>
      </c>
      <c r="F40" s="1">
        <v>1410.06</v>
      </c>
      <c r="G40" s="1">
        <v>11</v>
      </c>
      <c r="H40" s="1">
        <v>0.05</v>
      </c>
      <c r="I40" s="2">
        <v>45434</v>
      </c>
      <c r="J40" s="1">
        <v>468.84</v>
      </c>
      <c r="K40" s="4">
        <f>SUMIF(Table1[Customer_ID],Table1[[#This Row],[Customer_ID]],Table1[Sales])</f>
        <v>10293.870000000001</v>
      </c>
      <c r="L40" s="18">
        <f t="shared" ca="1" si="1"/>
        <v>46111.750599537037</v>
      </c>
      <c r="M40" s="1" t="str">
        <f>TEXT(Table1[[#This Row],[Order_Date]],"mmm")</f>
        <v>May</v>
      </c>
    </row>
    <row r="41" spans="2:13">
      <c r="B41" s="1" t="s">
        <v>38</v>
      </c>
      <c r="C41" s="1" t="s">
        <v>74</v>
      </c>
      <c r="D41" s="1" t="s">
        <v>51</v>
      </c>
      <c r="E41" s="1" t="s">
        <v>40</v>
      </c>
      <c r="F41" s="1">
        <v>773.09</v>
      </c>
      <c r="G41" s="1">
        <v>13</v>
      </c>
      <c r="H41" s="1">
        <v>0.15</v>
      </c>
      <c r="I41" s="2">
        <v>45434</v>
      </c>
      <c r="J41" s="1">
        <v>229.99</v>
      </c>
      <c r="K41" s="4">
        <f>SUMIF(Table1[Customer_ID],Table1[[#This Row],[Customer_ID]],Table1[Sales])</f>
        <v>9760.7999999999993</v>
      </c>
      <c r="L41" s="18">
        <f t="shared" ca="1" si="1"/>
        <v>46111.750599537037</v>
      </c>
      <c r="M41" s="1" t="str">
        <f>TEXT(Table1[[#This Row],[Order_Date]],"mmm")</f>
        <v>May</v>
      </c>
    </row>
    <row r="42" spans="2:13">
      <c r="B42" s="1" t="s">
        <v>75</v>
      </c>
      <c r="C42" s="1" t="s">
        <v>76</v>
      </c>
      <c r="D42" s="1" t="s">
        <v>27</v>
      </c>
      <c r="E42" s="1" t="s">
        <v>17</v>
      </c>
      <c r="F42" s="1">
        <v>580.42999999999995</v>
      </c>
      <c r="G42" s="1">
        <v>19</v>
      </c>
      <c r="H42" s="1">
        <v>0.15</v>
      </c>
      <c r="I42" s="2">
        <v>45435</v>
      </c>
      <c r="J42" s="1">
        <v>197.35</v>
      </c>
      <c r="K42" s="4">
        <f>SUMIF(Table1[Customer_ID],Table1[[#This Row],[Customer_ID]],Table1[Sales])</f>
        <v>3369.17</v>
      </c>
      <c r="L42" s="18">
        <f t="shared" ca="1" si="1"/>
        <v>46111.750599537037</v>
      </c>
      <c r="M42" s="1" t="str">
        <f>TEXT(Table1[[#This Row],[Order_Date]],"mmm")</f>
        <v>May</v>
      </c>
    </row>
    <row r="43" spans="2:13">
      <c r="B43" s="1" t="s">
        <v>30</v>
      </c>
      <c r="C43" s="1" t="s">
        <v>61</v>
      </c>
      <c r="D43" s="1" t="s">
        <v>31</v>
      </c>
      <c r="E43" s="1" t="s">
        <v>17</v>
      </c>
      <c r="F43" s="1">
        <v>1151.21</v>
      </c>
      <c r="G43" s="1">
        <v>15</v>
      </c>
      <c r="H43" s="1">
        <v>0.1</v>
      </c>
      <c r="I43" s="2">
        <v>45445</v>
      </c>
      <c r="J43" s="1">
        <v>414.44</v>
      </c>
      <c r="K43" s="4">
        <f>SUMIF(Table1[Customer_ID],Table1[[#This Row],[Customer_ID]],Table1[Sales])</f>
        <v>6666.130000000001</v>
      </c>
      <c r="L43" s="18">
        <f t="shared" ca="1" si="1"/>
        <v>46111.750599537037</v>
      </c>
      <c r="M43" s="1" t="str">
        <f>TEXT(Table1[[#This Row],[Order_Date]],"mmm")</f>
        <v>Jun</v>
      </c>
    </row>
    <row r="44" spans="2:13">
      <c r="B44" s="1" t="s">
        <v>54</v>
      </c>
      <c r="C44" s="1" t="s">
        <v>36</v>
      </c>
      <c r="D44" s="1" t="s">
        <v>51</v>
      </c>
      <c r="E44" s="1" t="s">
        <v>57</v>
      </c>
      <c r="F44" s="1">
        <v>1025.98</v>
      </c>
      <c r="G44" s="1">
        <v>5</v>
      </c>
      <c r="H44" s="1">
        <v>0.2</v>
      </c>
      <c r="I44" s="2">
        <v>45447</v>
      </c>
      <c r="J44" s="1">
        <v>369.35</v>
      </c>
      <c r="K44" s="4">
        <f>SUMIF(Table1[Customer_ID],Table1[[#This Row],[Customer_ID]],Table1[Sales])</f>
        <v>10293.870000000001</v>
      </c>
      <c r="L44" s="18">
        <f t="shared" ca="1" si="1"/>
        <v>46111.750599537037</v>
      </c>
      <c r="M44" s="1" t="str">
        <f>TEXT(Table1[[#This Row],[Order_Date]],"mmm")</f>
        <v>Jun</v>
      </c>
    </row>
    <row r="45" spans="2:13">
      <c r="B45" s="1" t="s">
        <v>59</v>
      </c>
      <c r="C45" s="1" t="s">
        <v>73</v>
      </c>
      <c r="D45" s="1" t="s">
        <v>27</v>
      </c>
      <c r="E45" s="1" t="s">
        <v>57</v>
      </c>
      <c r="F45" s="1">
        <v>556.41999999999996</v>
      </c>
      <c r="G45" s="1">
        <v>11</v>
      </c>
      <c r="H45" s="1">
        <v>0.15</v>
      </c>
      <c r="I45" s="2">
        <v>45447</v>
      </c>
      <c r="J45" s="1">
        <v>212.83</v>
      </c>
      <c r="K45" s="4">
        <f>SUMIF(Table1[Customer_ID],Table1[[#This Row],[Customer_ID]],Table1[Sales])</f>
        <v>5913.68</v>
      </c>
      <c r="L45" s="18">
        <f t="shared" ca="1" si="1"/>
        <v>46111.750599537037</v>
      </c>
      <c r="M45" s="1" t="str">
        <f>TEXT(Table1[[#This Row],[Order_Date]],"mmm")</f>
        <v>Jun</v>
      </c>
    </row>
    <row r="46" spans="2:13">
      <c r="B46" s="1" t="s">
        <v>48</v>
      </c>
      <c r="C46" s="1" t="s">
        <v>36</v>
      </c>
      <c r="D46" s="1" t="s">
        <v>51</v>
      </c>
      <c r="E46" s="1" t="s">
        <v>17</v>
      </c>
      <c r="F46" s="1">
        <v>840.85</v>
      </c>
      <c r="G46" s="1">
        <v>19</v>
      </c>
      <c r="H46" s="1">
        <v>0.1</v>
      </c>
      <c r="I46" s="2">
        <v>45448</v>
      </c>
      <c r="J46" s="1">
        <v>302.70999999999998</v>
      </c>
      <c r="K46" s="4">
        <f>SUMIF(Table1[Customer_ID],Table1[[#This Row],[Customer_ID]],Table1[Sales])</f>
        <v>8740.18</v>
      </c>
      <c r="L46" s="18">
        <f t="shared" ca="1" si="1"/>
        <v>46111.750599537037</v>
      </c>
      <c r="M46" s="1" t="str">
        <f>TEXT(Table1[[#This Row],[Order_Date]],"mmm")</f>
        <v>Jun</v>
      </c>
    </row>
    <row r="47" spans="2:13">
      <c r="B47" s="1" t="s">
        <v>46</v>
      </c>
      <c r="C47" s="1" t="s">
        <v>76</v>
      </c>
      <c r="D47" s="1" t="s">
        <v>37</v>
      </c>
      <c r="E47" s="1" t="s">
        <v>40</v>
      </c>
      <c r="F47" s="1">
        <v>1227.25</v>
      </c>
      <c r="G47" s="1">
        <v>12</v>
      </c>
      <c r="H47" s="1">
        <v>0.15</v>
      </c>
      <c r="I47" s="2">
        <v>45448</v>
      </c>
      <c r="J47" s="1">
        <v>365.11</v>
      </c>
      <c r="K47" s="4">
        <f>SUMIF(Table1[Customer_ID],Table1[[#This Row],[Customer_ID]],Table1[Sales])</f>
        <v>9371.81</v>
      </c>
      <c r="L47" s="18">
        <f t="shared" ca="1" si="1"/>
        <v>46111.750599537037</v>
      </c>
      <c r="M47" s="1" t="str">
        <f>TEXT(Table1[[#This Row],[Order_Date]],"mmm")</f>
        <v>Jun</v>
      </c>
    </row>
    <row r="48" spans="2:13">
      <c r="B48" s="1" t="s">
        <v>25</v>
      </c>
      <c r="C48" s="1" t="s">
        <v>77</v>
      </c>
      <c r="D48" s="1" t="s">
        <v>51</v>
      </c>
      <c r="E48" s="1" t="s">
        <v>32</v>
      </c>
      <c r="F48" s="1">
        <v>856.7</v>
      </c>
      <c r="G48" s="1">
        <v>2</v>
      </c>
      <c r="H48" s="1">
        <v>0</v>
      </c>
      <c r="I48" s="2">
        <v>45449</v>
      </c>
      <c r="J48" s="1">
        <v>214.18</v>
      </c>
      <c r="K48" s="4">
        <f>SUMIF(Table1[Customer_ID],Table1[[#This Row],[Customer_ID]],Table1[Sales])</f>
        <v>3419.2</v>
      </c>
      <c r="L48" s="18">
        <f t="shared" ca="1" si="1"/>
        <v>46111.750599537037</v>
      </c>
      <c r="M48" s="1" t="str">
        <f>TEXT(Table1[[#This Row],[Order_Date]],"mmm")</f>
        <v>Jun</v>
      </c>
    </row>
    <row r="49" spans="2:13">
      <c r="B49" s="1" t="s">
        <v>71</v>
      </c>
      <c r="C49" s="1" t="s">
        <v>73</v>
      </c>
      <c r="D49" s="1" t="s">
        <v>51</v>
      </c>
      <c r="E49" s="1" t="s">
        <v>57</v>
      </c>
      <c r="F49" s="1">
        <v>1225.42</v>
      </c>
      <c r="G49" s="1">
        <v>8</v>
      </c>
      <c r="H49" s="1">
        <v>0.15</v>
      </c>
      <c r="I49" s="2">
        <v>45449</v>
      </c>
      <c r="J49" s="1">
        <v>468.72</v>
      </c>
      <c r="K49" s="4">
        <f>SUMIF(Table1[Customer_ID],Table1[[#This Row],[Customer_ID]],Table1[Sales])</f>
        <v>6716.52</v>
      </c>
      <c r="L49" s="18">
        <f t="shared" ca="1" si="1"/>
        <v>46111.750599537037</v>
      </c>
      <c r="M49" s="1" t="str">
        <f>TEXT(Table1[[#This Row],[Order_Date]],"mmm")</f>
        <v>Jun</v>
      </c>
    </row>
    <row r="50" spans="2:13">
      <c r="B50" s="1" t="s">
        <v>78</v>
      </c>
      <c r="C50" s="1" t="s">
        <v>47</v>
      </c>
      <c r="D50" s="1" t="s">
        <v>37</v>
      </c>
      <c r="E50" s="1" t="s">
        <v>57</v>
      </c>
      <c r="F50" s="1">
        <v>1001.57</v>
      </c>
      <c r="G50" s="1">
        <v>12</v>
      </c>
      <c r="H50" s="1">
        <v>0</v>
      </c>
      <c r="I50" s="2">
        <v>45450</v>
      </c>
      <c r="J50" s="1">
        <v>450.71</v>
      </c>
      <c r="K50" s="4">
        <f>SUMIF(Table1[Customer_ID],Table1[[#This Row],[Customer_ID]],Table1[Sales])</f>
        <v>3762.2900000000004</v>
      </c>
      <c r="L50" s="18">
        <f t="shared" ca="1" si="1"/>
        <v>46111.750599537037</v>
      </c>
      <c r="M50" s="1" t="str">
        <f>TEXT(Table1[[#This Row],[Order_Date]],"mmm")</f>
        <v>Jun</v>
      </c>
    </row>
    <row r="51" spans="2:13">
      <c r="B51" s="1" t="s">
        <v>48</v>
      </c>
      <c r="C51" s="1" t="s">
        <v>39</v>
      </c>
      <c r="D51" s="1" t="s">
        <v>27</v>
      </c>
      <c r="E51" s="1" t="s">
        <v>40</v>
      </c>
      <c r="F51" s="1">
        <v>1186.8499999999999</v>
      </c>
      <c r="G51" s="1">
        <v>19</v>
      </c>
      <c r="H51" s="1">
        <v>0.2</v>
      </c>
      <c r="I51" s="2">
        <v>45451</v>
      </c>
      <c r="J51" s="1">
        <v>332.32</v>
      </c>
      <c r="K51" s="4">
        <f>SUMIF(Table1[Customer_ID],Table1[[#This Row],[Customer_ID]],Table1[Sales])</f>
        <v>8740.18</v>
      </c>
      <c r="L51" s="18">
        <f t="shared" ca="1" si="1"/>
        <v>46111.750599537037</v>
      </c>
      <c r="M51" s="1" t="str">
        <f>TEXT(Table1[[#This Row],[Order_Date]],"mmm")</f>
        <v>Jun</v>
      </c>
    </row>
    <row r="52" spans="2:13">
      <c r="B52" s="1" t="s">
        <v>38</v>
      </c>
      <c r="C52" s="1" t="s">
        <v>69</v>
      </c>
      <c r="D52" s="1" t="s">
        <v>31</v>
      </c>
      <c r="E52" s="1" t="s">
        <v>32</v>
      </c>
      <c r="F52" s="1">
        <v>775.45</v>
      </c>
      <c r="G52" s="1">
        <v>6</v>
      </c>
      <c r="H52" s="1">
        <v>0.1</v>
      </c>
      <c r="I52" s="2">
        <v>45457</v>
      </c>
      <c r="J52" s="1">
        <v>174.48</v>
      </c>
      <c r="K52" s="4">
        <f>SUMIF(Table1[Customer_ID],Table1[[#This Row],[Customer_ID]],Table1[Sales])</f>
        <v>9760.7999999999993</v>
      </c>
      <c r="L52" s="18">
        <f t="shared" ca="1" si="1"/>
        <v>46111.750599537037</v>
      </c>
      <c r="M52" s="1" t="str">
        <f>TEXT(Table1[[#This Row],[Order_Date]],"mmm")</f>
        <v>Jun</v>
      </c>
    </row>
    <row r="53" spans="2:13">
      <c r="B53" s="1" t="s">
        <v>33</v>
      </c>
      <c r="C53" s="1" t="s">
        <v>50</v>
      </c>
      <c r="D53" s="1" t="s">
        <v>31</v>
      </c>
      <c r="E53" s="1" t="s">
        <v>32</v>
      </c>
      <c r="F53" s="1">
        <v>1021.47</v>
      </c>
      <c r="G53" s="1">
        <v>6</v>
      </c>
      <c r="H53" s="1">
        <v>0.05</v>
      </c>
      <c r="I53" s="2">
        <v>45461</v>
      </c>
      <c r="J53" s="1">
        <v>242.6</v>
      </c>
      <c r="K53" s="4">
        <f>SUMIF(Table1[Customer_ID],Table1[[#This Row],[Customer_ID]],Table1[Sales])</f>
        <v>9941.8799999999992</v>
      </c>
      <c r="L53" s="18">
        <f t="shared" ca="1" si="1"/>
        <v>46111.750599537037</v>
      </c>
      <c r="M53" s="1" t="str">
        <f>TEXT(Table1[[#This Row],[Order_Date]],"mmm")</f>
        <v>Jun</v>
      </c>
    </row>
    <row r="54" spans="2:13">
      <c r="B54" s="1" t="s">
        <v>44</v>
      </c>
      <c r="C54" s="1" t="s">
        <v>36</v>
      </c>
      <c r="D54" s="1" t="s">
        <v>31</v>
      </c>
      <c r="E54" s="1" t="s">
        <v>22</v>
      </c>
      <c r="F54" s="1">
        <v>1226.6199999999999</v>
      </c>
      <c r="G54" s="1">
        <v>7</v>
      </c>
      <c r="H54" s="1">
        <v>0.1</v>
      </c>
      <c r="I54" s="2">
        <v>45463</v>
      </c>
      <c r="J54" s="1">
        <v>551.98</v>
      </c>
      <c r="K54" s="4">
        <f>SUMIF(Table1[Customer_ID],Table1[[#This Row],[Customer_ID]],Table1[Sales])</f>
        <v>11611.060000000001</v>
      </c>
      <c r="L54" s="18">
        <f t="shared" ca="1" si="1"/>
        <v>46111.750599537037</v>
      </c>
      <c r="M54" s="1" t="str">
        <f>TEXT(Table1[[#This Row],[Order_Date]],"mmm")</f>
        <v>Jun</v>
      </c>
    </row>
    <row r="55" spans="2:13">
      <c r="B55" s="1" t="s">
        <v>35</v>
      </c>
      <c r="C55" s="1" t="s">
        <v>79</v>
      </c>
      <c r="D55" s="1" t="s">
        <v>31</v>
      </c>
      <c r="E55" s="1" t="s">
        <v>40</v>
      </c>
      <c r="F55" s="1">
        <v>1086.93</v>
      </c>
      <c r="G55" s="1">
        <v>2</v>
      </c>
      <c r="H55" s="1">
        <v>0</v>
      </c>
      <c r="I55" s="2">
        <v>45464</v>
      </c>
      <c r="J55" s="1">
        <v>380.43</v>
      </c>
      <c r="K55" s="4">
        <f>SUMIF(Table1[Customer_ID],Table1[[#This Row],[Customer_ID]],Table1[Sales])</f>
        <v>7928.71</v>
      </c>
      <c r="L55" s="18">
        <f t="shared" ca="1" si="1"/>
        <v>46111.750599537037</v>
      </c>
      <c r="M55" s="1" t="str">
        <f>TEXT(Table1[[#This Row],[Order_Date]],"mmm")</f>
        <v>Jun</v>
      </c>
    </row>
    <row r="56" spans="2:13">
      <c r="B56" s="1" t="s">
        <v>80</v>
      </c>
      <c r="C56" s="1" t="s">
        <v>66</v>
      </c>
      <c r="D56" s="1" t="s">
        <v>16</v>
      </c>
      <c r="E56" s="1" t="s">
        <v>17</v>
      </c>
      <c r="F56" s="1">
        <v>942.9</v>
      </c>
      <c r="G56" s="1">
        <v>18</v>
      </c>
      <c r="H56" s="1">
        <v>0.1</v>
      </c>
      <c r="I56" s="2">
        <v>45466</v>
      </c>
      <c r="J56" s="1">
        <v>339.44</v>
      </c>
      <c r="K56" s="4">
        <f>SUMIF(Table1[Customer_ID],Table1[[#This Row],[Customer_ID]],Table1[Sales])</f>
        <v>6481.43</v>
      </c>
      <c r="L56" s="18">
        <f t="shared" ca="1" si="1"/>
        <v>46111.750599537037</v>
      </c>
      <c r="M56" s="1" t="str">
        <f>TEXT(Table1[[#This Row],[Order_Date]],"mmm")</f>
        <v>Jun</v>
      </c>
    </row>
    <row r="57" spans="2:13">
      <c r="B57" s="1" t="s">
        <v>49</v>
      </c>
      <c r="C57" s="1" t="s">
        <v>56</v>
      </c>
      <c r="D57" s="1" t="s">
        <v>37</v>
      </c>
      <c r="E57" s="1" t="s">
        <v>32</v>
      </c>
      <c r="F57" s="1">
        <v>818.8</v>
      </c>
      <c r="G57" s="1">
        <v>15</v>
      </c>
      <c r="H57" s="1">
        <v>0.15</v>
      </c>
      <c r="I57" s="2">
        <v>45468</v>
      </c>
      <c r="J57" s="1">
        <v>173.99</v>
      </c>
      <c r="K57" s="4">
        <f>SUMIF(Table1[Customer_ID],Table1[[#This Row],[Customer_ID]],Table1[Sales])</f>
        <v>6505.2</v>
      </c>
      <c r="L57" s="18">
        <f t="shared" ca="1" si="1"/>
        <v>46111.750599537037</v>
      </c>
      <c r="M57" s="1" t="str">
        <f>TEXT(Table1[[#This Row],[Order_Date]],"mmm")</f>
        <v>Jun</v>
      </c>
    </row>
    <row r="58" spans="2:13">
      <c r="B58" s="1" t="s">
        <v>30</v>
      </c>
      <c r="C58" s="1" t="s">
        <v>21</v>
      </c>
      <c r="D58" s="1" t="s">
        <v>31</v>
      </c>
      <c r="E58" s="1" t="s">
        <v>40</v>
      </c>
      <c r="F58" s="1">
        <v>919.04</v>
      </c>
      <c r="G58" s="1">
        <v>10</v>
      </c>
      <c r="H58" s="1">
        <v>0.2</v>
      </c>
      <c r="I58" s="2">
        <v>45468</v>
      </c>
      <c r="J58" s="1">
        <v>257.33</v>
      </c>
      <c r="K58" s="4">
        <f>SUMIF(Table1[Customer_ID],Table1[[#This Row],[Customer_ID]],Table1[Sales])</f>
        <v>6666.130000000001</v>
      </c>
      <c r="L58" s="18">
        <f t="shared" ca="1" si="1"/>
        <v>46111.750599537037</v>
      </c>
      <c r="M58" s="1" t="str">
        <f>TEXT(Table1[[#This Row],[Order_Date]],"mmm")</f>
        <v>Jun</v>
      </c>
    </row>
    <row r="59" spans="2:13">
      <c r="B59" s="1" t="s">
        <v>35</v>
      </c>
      <c r="C59" s="1" t="s">
        <v>81</v>
      </c>
      <c r="D59" s="1" t="s">
        <v>51</v>
      </c>
      <c r="E59" s="1" t="s">
        <v>17</v>
      </c>
      <c r="F59" s="1">
        <v>973.26</v>
      </c>
      <c r="G59" s="1">
        <v>11</v>
      </c>
      <c r="H59" s="1">
        <v>0</v>
      </c>
      <c r="I59" s="2">
        <v>45470</v>
      </c>
      <c r="J59" s="1">
        <v>389.3</v>
      </c>
      <c r="K59" s="4">
        <f>SUMIF(Table1[Customer_ID],Table1[[#This Row],[Customer_ID]],Table1[Sales])</f>
        <v>7928.71</v>
      </c>
      <c r="L59" s="18">
        <f t="shared" ca="1" si="1"/>
        <v>46111.750599537037</v>
      </c>
      <c r="M59" s="1" t="str">
        <f>TEXT(Table1[[#This Row],[Order_Date]],"mmm")</f>
        <v>Jun</v>
      </c>
    </row>
    <row r="60" spans="2:13">
      <c r="B60" s="1" t="s">
        <v>60</v>
      </c>
      <c r="C60" s="1" t="s">
        <v>79</v>
      </c>
      <c r="D60" s="1" t="s">
        <v>37</v>
      </c>
      <c r="E60" s="1" t="s">
        <v>32</v>
      </c>
      <c r="F60" s="1">
        <v>741.61</v>
      </c>
      <c r="G60" s="1">
        <v>1</v>
      </c>
      <c r="H60" s="1">
        <v>0.2</v>
      </c>
      <c r="I60" s="2">
        <v>45471</v>
      </c>
      <c r="J60" s="1">
        <v>148.32</v>
      </c>
      <c r="K60" s="4">
        <f>SUMIF(Table1[Customer_ID],Table1[[#This Row],[Customer_ID]],Table1[Sales])</f>
        <v>5779.05</v>
      </c>
      <c r="L60" s="18">
        <f t="shared" ca="1" si="1"/>
        <v>46111.750599537037</v>
      </c>
      <c r="M60" s="1" t="str">
        <f>TEXT(Table1[[#This Row],[Order_Date]],"mmm")</f>
        <v>Jun</v>
      </c>
    </row>
    <row r="61" spans="2:13">
      <c r="B61" s="1" t="s">
        <v>23</v>
      </c>
      <c r="C61" s="1" t="s">
        <v>56</v>
      </c>
      <c r="D61" s="1" t="s">
        <v>37</v>
      </c>
      <c r="E61" s="1" t="s">
        <v>17</v>
      </c>
      <c r="F61" s="1">
        <v>1248.82</v>
      </c>
      <c r="G61" s="1">
        <v>2</v>
      </c>
      <c r="H61" s="1">
        <v>0.1</v>
      </c>
      <c r="I61" s="2">
        <v>45473</v>
      </c>
      <c r="J61" s="1">
        <v>449.58</v>
      </c>
      <c r="K61" s="4">
        <f>SUMIF(Table1[Customer_ID],Table1[[#This Row],[Customer_ID]],Table1[Sales])</f>
        <v>8490.18</v>
      </c>
      <c r="L61" s="18">
        <f t="shared" ca="1" si="1"/>
        <v>46111.750599537037</v>
      </c>
      <c r="M61" s="1" t="str">
        <f>TEXT(Table1[[#This Row],[Order_Date]],"mmm")</f>
        <v>Jun</v>
      </c>
    </row>
    <row r="62" spans="2:13">
      <c r="B62" s="1" t="s">
        <v>20</v>
      </c>
      <c r="C62" s="1" t="s">
        <v>74</v>
      </c>
      <c r="D62" s="1" t="s">
        <v>16</v>
      </c>
      <c r="E62" s="1" t="s">
        <v>22</v>
      </c>
      <c r="F62" s="1">
        <v>1360.36</v>
      </c>
      <c r="G62" s="1">
        <v>17</v>
      </c>
      <c r="H62" s="1">
        <v>0</v>
      </c>
      <c r="I62" s="2">
        <v>45473</v>
      </c>
      <c r="J62" s="1">
        <v>680.18</v>
      </c>
      <c r="K62" s="4">
        <f>SUMIF(Table1[Customer_ID],Table1[[#This Row],[Customer_ID]],Table1[Sales])</f>
        <v>8339</v>
      </c>
      <c r="L62" s="18">
        <f t="shared" ca="1" si="1"/>
        <v>46111.750599537037</v>
      </c>
      <c r="M62" s="1" t="str">
        <f>TEXT(Table1[[#This Row],[Order_Date]],"mmm")</f>
        <v>Jun</v>
      </c>
    </row>
    <row r="63" spans="2:13">
      <c r="B63" s="1" t="s">
        <v>48</v>
      </c>
      <c r="C63" s="1" t="s">
        <v>47</v>
      </c>
      <c r="D63" s="1" t="s">
        <v>27</v>
      </c>
      <c r="E63" s="1" t="s">
        <v>17</v>
      </c>
      <c r="F63" s="1">
        <v>1383.3</v>
      </c>
      <c r="G63" s="1">
        <v>8</v>
      </c>
      <c r="H63" s="1">
        <v>0.1</v>
      </c>
      <c r="I63" s="2">
        <v>45478</v>
      </c>
      <c r="J63" s="1">
        <v>497.99</v>
      </c>
      <c r="K63" s="4">
        <f>SUMIF(Table1[Customer_ID],Table1[[#This Row],[Customer_ID]],Table1[Sales])</f>
        <v>8740.18</v>
      </c>
      <c r="L63" s="18">
        <f t="shared" ca="1" si="1"/>
        <v>46111.750599537037</v>
      </c>
      <c r="M63" s="1" t="str">
        <f>TEXT(Table1[[#This Row],[Order_Date]],"mmm")</f>
        <v>Jul</v>
      </c>
    </row>
    <row r="64" spans="2:13">
      <c r="B64" s="1" t="s">
        <v>52</v>
      </c>
      <c r="C64" s="1" t="s">
        <v>72</v>
      </c>
      <c r="D64" s="1" t="s">
        <v>51</v>
      </c>
      <c r="E64" s="1" t="s">
        <v>57</v>
      </c>
      <c r="F64" s="1">
        <v>488.99</v>
      </c>
      <c r="G64" s="1">
        <v>9</v>
      </c>
      <c r="H64" s="1">
        <v>0</v>
      </c>
      <c r="I64" s="2">
        <v>45479</v>
      </c>
      <c r="J64" s="1">
        <v>220.05</v>
      </c>
      <c r="K64" s="4">
        <f>SUMIF(Table1[Customer_ID],Table1[[#This Row],[Customer_ID]],Table1[Sales])</f>
        <v>4259.22</v>
      </c>
      <c r="L64" s="18">
        <f t="shared" ca="1" si="1"/>
        <v>46111.750599537037</v>
      </c>
      <c r="M64" s="1" t="str">
        <f>TEXT(Table1[[#This Row],[Order_Date]],"mmm")</f>
        <v>Jul</v>
      </c>
    </row>
    <row r="65" spans="2:13">
      <c r="B65" s="1" t="s">
        <v>46</v>
      </c>
      <c r="C65" s="1" t="s">
        <v>47</v>
      </c>
      <c r="D65" s="1" t="s">
        <v>27</v>
      </c>
      <c r="E65" s="1" t="s">
        <v>40</v>
      </c>
      <c r="F65" s="1">
        <v>933.71</v>
      </c>
      <c r="G65" s="1">
        <v>17</v>
      </c>
      <c r="H65" s="1">
        <v>0.1</v>
      </c>
      <c r="I65" s="2">
        <v>45481</v>
      </c>
      <c r="J65" s="1">
        <v>294.12</v>
      </c>
      <c r="K65" s="4">
        <f>SUMIF(Table1[Customer_ID],Table1[[#This Row],[Customer_ID]],Table1[Sales])</f>
        <v>9371.81</v>
      </c>
      <c r="L65" s="18">
        <f t="shared" ca="1" si="1"/>
        <v>46111.750599537037</v>
      </c>
      <c r="M65" s="1" t="str">
        <f>TEXT(Table1[[#This Row],[Order_Date]],"mmm")</f>
        <v>Jul</v>
      </c>
    </row>
    <row r="66" spans="2:13">
      <c r="B66" s="1" t="s">
        <v>23</v>
      </c>
      <c r="C66" s="1" t="s">
        <v>15</v>
      </c>
      <c r="D66" s="1" t="s">
        <v>16</v>
      </c>
      <c r="E66" s="1" t="s">
        <v>32</v>
      </c>
      <c r="F66" s="1">
        <v>1005.53</v>
      </c>
      <c r="G66" s="1">
        <v>17</v>
      </c>
      <c r="H66" s="1">
        <v>0.2</v>
      </c>
      <c r="I66" s="2">
        <v>45481</v>
      </c>
      <c r="J66" s="1">
        <v>201.11</v>
      </c>
      <c r="K66" s="4">
        <f>SUMIF(Table1[Customer_ID],Table1[[#This Row],[Customer_ID]],Table1[Sales])</f>
        <v>8490.18</v>
      </c>
      <c r="L66" s="18">
        <f t="shared" ca="1" si="1"/>
        <v>46111.750599537037</v>
      </c>
      <c r="M66" s="1" t="str">
        <f>TEXT(Table1[[#This Row],[Order_Date]],"mmm")</f>
        <v>Jul</v>
      </c>
    </row>
    <row r="67" spans="2:13">
      <c r="B67" s="1" t="s">
        <v>60</v>
      </c>
      <c r="C67" s="1" t="s">
        <v>76</v>
      </c>
      <c r="D67" s="1" t="s">
        <v>31</v>
      </c>
      <c r="E67" s="1" t="s">
        <v>32</v>
      </c>
      <c r="F67" s="1">
        <v>1100.0999999999999</v>
      </c>
      <c r="G67" s="1">
        <v>5</v>
      </c>
      <c r="H67" s="1">
        <v>0.05</v>
      </c>
      <c r="I67" s="2">
        <v>45482</v>
      </c>
      <c r="J67" s="1">
        <v>261.27</v>
      </c>
      <c r="K67" s="4">
        <f>SUMIF(Table1[Customer_ID],Table1[[#This Row],[Customer_ID]],Table1[Sales])</f>
        <v>5779.05</v>
      </c>
      <c r="L67" s="18">
        <f t="shared" ref="L67:L98" ca="1" si="2">NOW()</f>
        <v>46111.750599537037</v>
      </c>
      <c r="M67" s="1" t="str">
        <f>TEXT(Table1[[#This Row],[Order_Date]],"mmm")</f>
        <v>Jul</v>
      </c>
    </row>
    <row r="68" spans="2:13">
      <c r="B68" s="1" t="s">
        <v>23</v>
      </c>
      <c r="C68" s="1" t="s">
        <v>36</v>
      </c>
      <c r="D68" s="1" t="s">
        <v>37</v>
      </c>
      <c r="E68" s="1" t="s">
        <v>40</v>
      </c>
      <c r="F68" s="1">
        <v>1034.7</v>
      </c>
      <c r="G68" s="1">
        <v>15</v>
      </c>
      <c r="H68" s="1">
        <v>0.15</v>
      </c>
      <c r="I68" s="2">
        <v>45487</v>
      </c>
      <c r="J68" s="1">
        <v>307.82</v>
      </c>
      <c r="K68" s="4">
        <f>SUMIF(Table1[Customer_ID],Table1[[#This Row],[Customer_ID]],Table1[Sales])</f>
        <v>8490.18</v>
      </c>
      <c r="L68" s="18">
        <f t="shared" ca="1" si="2"/>
        <v>46111.750599537037</v>
      </c>
      <c r="M68" s="1" t="str">
        <f>TEXT(Table1[[#This Row],[Order_Date]],"mmm")</f>
        <v>Jul</v>
      </c>
    </row>
    <row r="69" spans="2:13">
      <c r="B69" s="1" t="s">
        <v>80</v>
      </c>
      <c r="C69" s="1" t="s">
        <v>47</v>
      </c>
      <c r="D69" s="1" t="s">
        <v>31</v>
      </c>
      <c r="E69" s="1" t="s">
        <v>17</v>
      </c>
      <c r="F69" s="1">
        <v>876.44</v>
      </c>
      <c r="G69" s="1">
        <v>12</v>
      </c>
      <c r="H69" s="1">
        <v>0.05</v>
      </c>
      <c r="I69" s="2">
        <v>45488</v>
      </c>
      <c r="J69" s="1">
        <v>333.05</v>
      </c>
      <c r="K69" s="4">
        <f>SUMIF(Table1[Customer_ID],Table1[[#This Row],[Customer_ID]],Table1[Sales])</f>
        <v>6481.43</v>
      </c>
      <c r="L69" s="18">
        <f t="shared" ca="1" si="2"/>
        <v>46111.750599537037</v>
      </c>
      <c r="M69" s="1" t="str">
        <f>TEXT(Table1[[#This Row],[Order_Date]],"mmm")</f>
        <v>Jul</v>
      </c>
    </row>
    <row r="70" spans="2:13">
      <c r="B70" s="1" t="s">
        <v>82</v>
      </c>
      <c r="C70" s="1" t="s">
        <v>72</v>
      </c>
      <c r="D70" s="1" t="s">
        <v>16</v>
      </c>
      <c r="E70" s="1" t="s">
        <v>40</v>
      </c>
      <c r="F70" s="1">
        <v>1371.34</v>
      </c>
      <c r="G70" s="1">
        <v>5</v>
      </c>
      <c r="H70" s="1">
        <v>0.05</v>
      </c>
      <c r="I70" s="2">
        <v>45488</v>
      </c>
      <c r="J70" s="1">
        <v>455.97</v>
      </c>
      <c r="K70" s="4">
        <f>SUMIF(Table1[Customer_ID],Table1[[#This Row],[Customer_ID]],Table1[Sales])</f>
        <v>4413.71</v>
      </c>
      <c r="L70" s="18">
        <f t="shared" ca="1" si="2"/>
        <v>46111.750599537037</v>
      </c>
      <c r="M70" s="1" t="str">
        <f>TEXT(Table1[[#This Row],[Order_Date]],"mmm")</f>
        <v>Jul</v>
      </c>
    </row>
    <row r="71" spans="2:13">
      <c r="B71" s="1" t="s">
        <v>48</v>
      </c>
      <c r="C71" s="1" t="s">
        <v>65</v>
      </c>
      <c r="D71" s="1" t="s">
        <v>37</v>
      </c>
      <c r="E71" s="1" t="s">
        <v>32</v>
      </c>
      <c r="F71" s="1">
        <v>1020.26</v>
      </c>
      <c r="G71" s="1">
        <v>11</v>
      </c>
      <c r="H71" s="1">
        <v>0.05</v>
      </c>
      <c r="I71" s="2">
        <v>45494</v>
      </c>
      <c r="J71" s="1">
        <v>242.31</v>
      </c>
      <c r="K71" s="4">
        <f>SUMIF(Table1[Customer_ID],Table1[[#This Row],[Customer_ID]],Table1[Sales])</f>
        <v>8740.18</v>
      </c>
      <c r="L71" s="18">
        <f t="shared" ca="1" si="2"/>
        <v>46111.750599537037</v>
      </c>
      <c r="M71" s="1" t="str">
        <f>TEXT(Table1[[#This Row],[Order_Date]],"mmm")</f>
        <v>Jul</v>
      </c>
    </row>
    <row r="72" spans="2:13">
      <c r="B72" s="1" t="s">
        <v>38</v>
      </c>
      <c r="C72" s="1" t="s">
        <v>15</v>
      </c>
      <c r="D72" s="1" t="s">
        <v>51</v>
      </c>
      <c r="E72" s="1" t="s">
        <v>57</v>
      </c>
      <c r="F72" s="1">
        <v>804.81</v>
      </c>
      <c r="G72" s="1">
        <v>1</v>
      </c>
      <c r="H72" s="1">
        <v>0.05</v>
      </c>
      <c r="I72" s="2">
        <v>45502</v>
      </c>
      <c r="J72" s="1">
        <v>344.06</v>
      </c>
      <c r="K72" s="4">
        <f>SUMIF(Table1[Customer_ID],Table1[[#This Row],[Customer_ID]],Table1[Sales])</f>
        <v>9760.7999999999993</v>
      </c>
      <c r="L72" s="18">
        <f t="shared" ca="1" si="2"/>
        <v>46111.750599537037</v>
      </c>
      <c r="M72" s="1" t="str">
        <f>TEXT(Table1[[#This Row],[Order_Date]],"mmm")</f>
        <v>Jul</v>
      </c>
    </row>
    <row r="73" spans="2:13">
      <c r="B73" s="1" t="s">
        <v>35</v>
      </c>
      <c r="C73" s="1" t="s">
        <v>72</v>
      </c>
      <c r="D73" s="1" t="s">
        <v>51</v>
      </c>
      <c r="E73" s="1" t="s">
        <v>32</v>
      </c>
      <c r="F73" s="1">
        <v>608.66</v>
      </c>
      <c r="G73" s="1">
        <v>1</v>
      </c>
      <c r="H73" s="1">
        <v>0.05</v>
      </c>
      <c r="I73" s="2">
        <v>45503</v>
      </c>
      <c r="J73" s="1">
        <v>144.56</v>
      </c>
      <c r="K73" s="4">
        <f>SUMIF(Table1[Customer_ID],Table1[[#This Row],[Customer_ID]],Table1[Sales])</f>
        <v>7928.71</v>
      </c>
      <c r="L73" s="18">
        <f t="shared" ca="1" si="2"/>
        <v>46111.750599537037</v>
      </c>
      <c r="M73" s="1" t="str">
        <f>TEXT(Table1[[#This Row],[Order_Date]],"mmm")</f>
        <v>Jul</v>
      </c>
    </row>
    <row r="74" spans="2:13">
      <c r="B74" s="1" t="s">
        <v>82</v>
      </c>
      <c r="C74" s="1" t="s">
        <v>83</v>
      </c>
      <c r="D74" s="1" t="s">
        <v>31</v>
      </c>
      <c r="E74" s="1" t="s">
        <v>57</v>
      </c>
      <c r="F74" s="1">
        <v>981.2</v>
      </c>
      <c r="G74" s="1">
        <v>19</v>
      </c>
      <c r="H74" s="1">
        <v>0</v>
      </c>
      <c r="I74" s="2">
        <v>45504</v>
      </c>
      <c r="J74" s="1">
        <v>441.54</v>
      </c>
      <c r="K74" s="4">
        <f>SUMIF(Table1[Customer_ID],Table1[[#This Row],[Customer_ID]],Table1[Sales])</f>
        <v>4413.71</v>
      </c>
      <c r="L74" s="18">
        <f t="shared" ca="1" si="2"/>
        <v>46111.750599537037</v>
      </c>
      <c r="M74" s="1" t="str">
        <f>TEXT(Table1[[#This Row],[Order_Date]],"mmm")</f>
        <v>Jul</v>
      </c>
    </row>
    <row r="75" spans="2:13">
      <c r="B75" s="1" t="s">
        <v>84</v>
      </c>
      <c r="C75" s="1" t="s">
        <v>72</v>
      </c>
      <c r="D75" s="1" t="s">
        <v>27</v>
      </c>
      <c r="E75" s="1" t="s">
        <v>32</v>
      </c>
      <c r="F75" s="1">
        <v>539.77</v>
      </c>
      <c r="G75" s="1">
        <v>10</v>
      </c>
      <c r="H75" s="1">
        <v>0.15</v>
      </c>
      <c r="I75" s="2">
        <v>45509</v>
      </c>
      <c r="J75" s="1">
        <v>114.7</v>
      </c>
      <c r="K75" s="4">
        <f>SUMIF(Table1[Customer_ID],Table1[[#This Row],[Customer_ID]],Table1[Sales])</f>
        <v>7583.1299999999992</v>
      </c>
      <c r="L75" s="18">
        <f t="shared" ca="1" si="2"/>
        <v>46111.750599537037</v>
      </c>
      <c r="M75" s="1" t="str">
        <f>TEXT(Table1[[#This Row],[Order_Date]],"mmm")</f>
        <v>Aug</v>
      </c>
    </row>
    <row r="76" spans="2:13">
      <c r="B76" s="1" t="s">
        <v>20</v>
      </c>
      <c r="C76" s="1" t="s">
        <v>85</v>
      </c>
      <c r="D76" s="1" t="s">
        <v>31</v>
      </c>
      <c r="E76" s="1" t="s">
        <v>17</v>
      </c>
      <c r="F76" s="1">
        <v>804.45</v>
      </c>
      <c r="G76" s="1">
        <v>5</v>
      </c>
      <c r="H76" s="1">
        <v>0.2</v>
      </c>
      <c r="I76" s="2">
        <v>45509</v>
      </c>
      <c r="J76" s="1">
        <v>257.42</v>
      </c>
      <c r="K76" s="4">
        <f>SUMIF(Table1[Customer_ID],Table1[[#This Row],[Customer_ID]],Table1[Sales])</f>
        <v>8339</v>
      </c>
      <c r="L76" s="18">
        <f t="shared" ca="1" si="2"/>
        <v>46111.750599537037</v>
      </c>
      <c r="M76" s="1" t="str">
        <f>TEXT(Table1[[#This Row],[Order_Date]],"mmm")</f>
        <v>Aug</v>
      </c>
    </row>
    <row r="77" spans="2:13">
      <c r="B77" s="1" t="s">
        <v>84</v>
      </c>
      <c r="C77" s="1" t="s">
        <v>56</v>
      </c>
      <c r="D77" s="1" t="s">
        <v>16</v>
      </c>
      <c r="E77" s="1" t="s">
        <v>32</v>
      </c>
      <c r="F77" s="1">
        <v>1526.6</v>
      </c>
      <c r="G77" s="1">
        <v>13</v>
      </c>
      <c r="H77" s="1">
        <v>0.2</v>
      </c>
      <c r="I77" s="2">
        <v>45512</v>
      </c>
      <c r="J77" s="1">
        <v>305.32</v>
      </c>
      <c r="K77" s="4">
        <f>SUMIF(Table1[Customer_ID],Table1[[#This Row],[Customer_ID]],Table1[Sales])</f>
        <v>7583.1299999999992</v>
      </c>
      <c r="L77" s="18">
        <f t="shared" ca="1" si="2"/>
        <v>46111.750599537037</v>
      </c>
      <c r="M77" s="1" t="str">
        <f>TEXT(Table1[[#This Row],[Order_Date]],"mmm")</f>
        <v>Aug</v>
      </c>
    </row>
    <row r="78" spans="2:13">
      <c r="B78" s="1" t="s">
        <v>20</v>
      </c>
      <c r="C78" s="1" t="s">
        <v>43</v>
      </c>
      <c r="D78" s="1" t="s">
        <v>16</v>
      </c>
      <c r="E78" s="1" t="s">
        <v>32</v>
      </c>
      <c r="F78" s="1">
        <v>1215.26</v>
      </c>
      <c r="G78" s="1">
        <v>5</v>
      </c>
      <c r="H78" s="1">
        <v>0.15</v>
      </c>
      <c r="I78" s="2">
        <v>45513</v>
      </c>
      <c r="J78" s="1">
        <v>258.24</v>
      </c>
      <c r="K78" s="4">
        <f>SUMIF(Table1[Customer_ID],Table1[[#This Row],[Customer_ID]],Table1[Sales])</f>
        <v>8339</v>
      </c>
      <c r="L78" s="18">
        <f t="shared" ca="1" si="2"/>
        <v>46111.750599537037</v>
      </c>
      <c r="M78" s="1" t="str">
        <f>TEXT(Table1[[#This Row],[Order_Date]],"mmm")</f>
        <v>Aug</v>
      </c>
    </row>
    <row r="79" spans="2:13">
      <c r="B79" s="1" t="s">
        <v>30</v>
      </c>
      <c r="C79" s="1" t="s">
        <v>70</v>
      </c>
      <c r="D79" s="1" t="s">
        <v>51</v>
      </c>
      <c r="E79" s="1" t="s">
        <v>40</v>
      </c>
      <c r="F79" s="1">
        <v>1261.3399999999999</v>
      </c>
      <c r="G79" s="1">
        <v>3</v>
      </c>
      <c r="H79" s="1">
        <v>0</v>
      </c>
      <c r="I79" s="2">
        <v>45519</v>
      </c>
      <c r="J79" s="1">
        <v>441.47</v>
      </c>
      <c r="K79" s="4">
        <f>SUMIF(Table1[Customer_ID],Table1[[#This Row],[Customer_ID]],Table1[Sales])</f>
        <v>6666.130000000001</v>
      </c>
      <c r="L79" s="18">
        <f t="shared" ca="1" si="2"/>
        <v>46111.750599537037</v>
      </c>
      <c r="M79" s="1" t="str">
        <f>TEXT(Table1[[#This Row],[Order_Date]],"mmm")</f>
        <v>Aug</v>
      </c>
    </row>
    <row r="80" spans="2:13">
      <c r="B80" s="1" t="s">
        <v>28</v>
      </c>
      <c r="C80" s="1" t="s">
        <v>63</v>
      </c>
      <c r="D80" s="1" t="s">
        <v>37</v>
      </c>
      <c r="E80" s="1" t="s">
        <v>40</v>
      </c>
      <c r="F80" s="1">
        <v>518.07000000000005</v>
      </c>
      <c r="G80" s="1">
        <v>7</v>
      </c>
      <c r="H80" s="1">
        <v>0.05</v>
      </c>
      <c r="I80" s="2">
        <v>45522</v>
      </c>
      <c r="J80" s="1">
        <v>172.26</v>
      </c>
      <c r="K80" s="4">
        <f>SUMIF(Table1[Customer_ID],Table1[[#This Row],[Customer_ID]],Table1[Sales])</f>
        <v>7813.59</v>
      </c>
      <c r="L80" s="18">
        <f t="shared" ca="1" si="2"/>
        <v>46111.750599537037</v>
      </c>
      <c r="M80" s="1" t="str">
        <f>TEXT(Table1[[#This Row],[Order_Date]],"mmm")</f>
        <v>Aug</v>
      </c>
    </row>
    <row r="81" spans="2:13">
      <c r="B81" s="1" t="s">
        <v>46</v>
      </c>
      <c r="C81" s="1" t="s">
        <v>43</v>
      </c>
      <c r="D81" s="1" t="s">
        <v>16</v>
      </c>
      <c r="E81" s="1" t="s">
        <v>57</v>
      </c>
      <c r="F81" s="1">
        <v>1111.3399999999999</v>
      </c>
      <c r="G81" s="1">
        <v>1</v>
      </c>
      <c r="H81" s="1">
        <v>0</v>
      </c>
      <c r="I81" s="2">
        <v>45523</v>
      </c>
      <c r="J81" s="1">
        <v>500.1</v>
      </c>
      <c r="K81" s="4">
        <f>SUMIF(Table1[Customer_ID],Table1[[#This Row],[Customer_ID]],Table1[Sales])</f>
        <v>9371.81</v>
      </c>
      <c r="L81" s="18">
        <f t="shared" ca="1" si="2"/>
        <v>46111.750599537037</v>
      </c>
      <c r="M81" s="1" t="str">
        <f>TEXT(Table1[[#This Row],[Order_Date]],"mmm")</f>
        <v>Aug</v>
      </c>
    </row>
    <row r="82" spans="2:13">
      <c r="B82" s="1" t="s">
        <v>35</v>
      </c>
      <c r="C82" s="1" t="s">
        <v>47</v>
      </c>
      <c r="D82" s="1" t="s">
        <v>27</v>
      </c>
      <c r="E82" s="1" t="s">
        <v>22</v>
      </c>
      <c r="F82" s="1">
        <v>1291.47</v>
      </c>
      <c r="G82" s="1">
        <v>18</v>
      </c>
      <c r="H82" s="1">
        <v>0.1</v>
      </c>
      <c r="I82" s="2">
        <v>45526</v>
      </c>
      <c r="J82" s="1">
        <v>581.16</v>
      </c>
      <c r="K82" s="4">
        <f>SUMIF(Table1[Customer_ID],Table1[[#This Row],[Customer_ID]],Table1[Sales])</f>
        <v>7928.71</v>
      </c>
      <c r="L82" s="18">
        <f t="shared" ca="1" si="2"/>
        <v>46111.750599537037</v>
      </c>
      <c r="M82" s="1" t="str">
        <f>TEXT(Table1[[#This Row],[Order_Date]],"mmm")</f>
        <v>Aug</v>
      </c>
    </row>
    <row r="83" spans="2:13">
      <c r="B83" s="1" t="s">
        <v>33</v>
      </c>
      <c r="C83" s="1" t="s">
        <v>72</v>
      </c>
      <c r="D83" s="1" t="s">
        <v>37</v>
      </c>
      <c r="E83" s="1" t="s">
        <v>17</v>
      </c>
      <c r="F83" s="1">
        <v>679.71</v>
      </c>
      <c r="G83" s="1">
        <v>19</v>
      </c>
      <c r="H83" s="1">
        <v>0</v>
      </c>
      <c r="I83" s="2">
        <v>45534</v>
      </c>
      <c r="J83" s="1">
        <v>271.88</v>
      </c>
      <c r="K83" s="4">
        <f>SUMIF(Table1[Customer_ID],Table1[[#This Row],[Customer_ID]],Table1[Sales])</f>
        <v>9941.8799999999992</v>
      </c>
      <c r="L83" s="18">
        <f t="shared" ca="1" si="2"/>
        <v>46111.750599537037</v>
      </c>
      <c r="M83" s="1" t="str">
        <f>TEXT(Table1[[#This Row],[Order_Date]],"mmm")</f>
        <v>Aug</v>
      </c>
    </row>
    <row r="84" spans="2:13">
      <c r="B84" s="1" t="s">
        <v>82</v>
      </c>
      <c r="C84" s="1" t="s">
        <v>50</v>
      </c>
      <c r="D84" s="1" t="s">
        <v>27</v>
      </c>
      <c r="E84" s="1" t="s">
        <v>40</v>
      </c>
      <c r="F84" s="1">
        <v>1143.69</v>
      </c>
      <c r="G84" s="1">
        <v>17</v>
      </c>
      <c r="H84" s="1">
        <v>0</v>
      </c>
      <c r="I84" s="2">
        <v>45534</v>
      </c>
      <c r="J84" s="1">
        <v>400.29</v>
      </c>
      <c r="K84" s="4">
        <f>SUMIF(Table1[Customer_ID],Table1[[#This Row],[Customer_ID]],Table1[Sales])</f>
        <v>4413.71</v>
      </c>
      <c r="L84" s="18">
        <f t="shared" ca="1" si="2"/>
        <v>46111.750599537037</v>
      </c>
      <c r="M84" s="1" t="str">
        <f>TEXT(Table1[[#This Row],[Order_Date]],"mmm")</f>
        <v>Aug</v>
      </c>
    </row>
    <row r="85" spans="2:13">
      <c r="B85" s="1" t="s">
        <v>54</v>
      </c>
      <c r="C85" s="1" t="s">
        <v>68</v>
      </c>
      <c r="D85" s="1" t="s">
        <v>51</v>
      </c>
      <c r="E85" s="1" t="s">
        <v>32</v>
      </c>
      <c r="F85" s="1">
        <v>790.08</v>
      </c>
      <c r="G85" s="1">
        <v>7</v>
      </c>
      <c r="H85" s="1">
        <v>0.1</v>
      </c>
      <c r="I85" s="2">
        <v>45536</v>
      </c>
      <c r="J85" s="1">
        <v>177.77</v>
      </c>
      <c r="K85" s="4">
        <f>SUMIF(Table1[Customer_ID],Table1[[#This Row],[Customer_ID]],Table1[Sales])</f>
        <v>10293.870000000001</v>
      </c>
      <c r="L85" s="18">
        <f t="shared" ca="1" si="2"/>
        <v>46111.750599537037</v>
      </c>
      <c r="M85" s="1" t="str">
        <f>TEXT(Table1[[#This Row],[Order_Date]],"mmm")</f>
        <v>Sep</v>
      </c>
    </row>
    <row r="86" spans="2:13">
      <c r="B86" s="1" t="s">
        <v>30</v>
      </c>
      <c r="C86" s="1" t="s">
        <v>66</v>
      </c>
      <c r="D86" s="1" t="s">
        <v>51</v>
      </c>
      <c r="E86" s="1" t="s">
        <v>17</v>
      </c>
      <c r="F86" s="1">
        <v>1070.68</v>
      </c>
      <c r="G86" s="1">
        <v>7</v>
      </c>
      <c r="H86" s="1">
        <v>0.05</v>
      </c>
      <c r="I86" s="2">
        <v>45536</v>
      </c>
      <c r="J86" s="1">
        <v>406.86</v>
      </c>
      <c r="K86" s="4">
        <f>SUMIF(Table1[Customer_ID],Table1[[#This Row],[Customer_ID]],Table1[Sales])</f>
        <v>6666.130000000001</v>
      </c>
      <c r="L86" s="18">
        <f t="shared" ca="1" si="2"/>
        <v>46111.750599537037</v>
      </c>
      <c r="M86" s="1" t="str">
        <f>TEXT(Table1[[#This Row],[Order_Date]],"mmm")</f>
        <v>Sep</v>
      </c>
    </row>
    <row r="87" spans="2:13">
      <c r="B87" s="1" t="s">
        <v>44</v>
      </c>
      <c r="C87" s="1" t="s">
        <v>53</v>
      </c>
      <c r="D87" s="1" t="s">
        <v>16</v>
      </c>
      <c r="E87" s="1" t="s">
        <v>22</v>
      </c>
      <c r="F87" s="1">
        <v>1168.8900000000001</v>
      </c>
      <c r="G87" s="1">
        <v>4</v>
      </c>
      <c r="H87" s="1">
        <v>0.1</v>
      </c>
      <c r="I87" s="2">
        <v>45544</v>
      </c>
      <c r="J87" s="1">
        <v>526</v>
      </c>
      <c r="K87" s="4">
        <f>SUMIF(Table1[Customer_ID],Table1[[#This Row],[Customer_ID]],Table1[Sales])</f>
        <v>11611.060000000001</v>
      </c>
      <c r="L87" s="18">
        <f t="shared" ca="1" si="2"/>
        <v>46111.750599537037</v>
      </c>
      <c r="M87" s="1" t="str">
        <f>TEXT(Table1[[#This Row],[Order_Date]],"mmm")</f>
        <v>Sep</v>
      </c>
    </row>
    <row r="88" spans="2:13">
      <c r="B88" s="1" t="s">
        <v>23</v>
      </c>
      <c r="C88" s="1" t="s">
        <v>15</v>
      </c>
      <c r="D88" s="1" t="s">
        <v>31</v>
      </c>
      <c r="E88" s="1" t="s">
        <v>32</v>
      </c>
      <c r="F88" s="1">
        <v>1335.87</v>
      </c>
      <c r="G88" s="1">
        <v>17</v>
      </c>
      <c r="H88" s="1">
        <v>0</v>
      </c>
      <c r="I88" s="2">
        <v>45544</v>
      </c>
      <c r="J88" s="1">
        <v>333.97</v>
      </c>
      <c r="K88" s="4">
        <f>SUMIF(Table1[Customer_ID],Table1[[#This Row],[Customer_ID]],Table1[Sales])</f>
        <v>8490.18</v>
      </c>
      <c r="L88" s="18">
        <f t="shared" ca="1" si="2"/>
        <v>46111.750599537037</v>
      </c>
      <c r="M88" s="1" t="str">
        <f>TEXT(Table1[[#This Row],[Order_Date]],"mmm")</f>
        <v>Sep</v>
      </c>
    </row>
    <row r="89" spans="2:13">
      <c r="B89" s="1" t="s">
        <v>59</v>
      </c>
      <c r="C89" s="1" t="s">
        <v>72</v>
      </c>
      <c r="D89" s="1" t="s">
        <v>27</v>
      </c>
      <c r="E89" s="1" t="s">
        <v>40</v>
      </c>
      <c r="F89" s="1">
        <v>873.7</v>
      </c>
      <c r="G89" s="1">
        <v>9</v>
      </c>
      <c r="H89" s="1">
        <v>0</v>
      </c>
      <c r="I89" s="2">
        <v>45546</v>
      </c>
      <c r="J89" s="1">
        <v>305.8</v>
      </c>
      <c r="K89" s="4">
        <f>SUMIF(Table1[Customer_ID],Table1[[#This Row],[Customer_ID]],Table1[Sales])</f>
        <v>5913.68</v>
      </c>
      <c r="L89" s="18">
        <f t="shared" ca="1" si="2"/>
        <v>46111.750599537037</v>
      </c>
      <c r="M89" s="1" t="str">
        <f>TEXT(Table1[[#This Row],[Order_Date]],"mmm")</f>
        <v>Sep</v>
      </c>
    </row>
    <row r="90" spans="2:13">
      <c r="B90" s="1" t="s">
        <v>28</v>
      </c>
      <c r="C90" s="1" t="s">
        <v>79</v>
      </c>
      <c r="D90" s="1" t="s">
        <v>16</v>
      </c>
      <c r="E90" s="1" t="s">
        <v>57</v>
      </c>
      <c r="F90" s="1">
        <v>1443.98</v>
      </c>
      <c r="G90" s="1">
        <v>19</v>
      </c>
      <c r="H90" s="1">
        <v>0</v>
      </c>
      <c r="I90" s="2">
        <v>45547</v>
      </c>
      <c r="J90" s="1">
        <v>649.79</v>
      </c>
      <c r="K90" s="4">
        <f>SUMIF(Table1[Customer_ID],Table1[[#This Row],[Customer_ID]],Table1[Sales])</f>
        <v>7813.59</v>
      </c>
      <c r="L90" s="18">
        <f t="shared" ca="1" si="2"/>
        <v>46111.750599537037</v>
      </c>
      <c r="M90" s="1" t="str">
        <f>TEXT(Table1[[#This Row],[Order_Date]],"mmm")</f>
        <v>Sep</v>
      </c>
    </row>
    <row r="91" spans="2:13">
      <c r="B91" s="1" t="s">
        <v>59</v>
      </c>
      <c r="C91" s="1" t="s">
        <v>36</v>
      </c>
      <c r="D91" s="1" t="s">
        <v>27</v>
      </c>
      <c r="E91" s="1" t="s">
        <v>57</v>
      </c>
      <c r="F91" s="1">
        <v>1154.33</v>
      </c>
      <c r="G91" s="1">
        <v>11</v>
      </c>
      <c r="H91" s="1">
        <v>0.15</v>
      </c>
      <c r="I91" s="2">
        <v>45549</v>
      </c>
      <c r="J91" s="1">
        <v>441.53</v>
      </c>
      <c r="K91" s="4">
        <f>SUMIF(Table1[Customer_ID],Table1[[#This Row],[Customer_ID]],Table1[Sales])</f>
        <v>5913.68</v>
      </c>
      <c r="L91" s="18">
        <f t="shared" ca="1" si="2"/>
        <v>46111.750599537037</v>
      </c>
      <c r="M91" s="1" t="str">
        <f>TEXT(Table1[[#This Row],[Order_Date]],"mmm")</f>
        <v>Sep</v>
      </c>
    </row>
    <row r="92" spans="2:13">
      <c r="B92" s="1" t="s">
        <v>67</v>
      </c>
      <c r="C92" s="1" t="s">
        <v>68</v>
      </c>
      <c r="D92" s="1" t="s">
        <v>31</v>
      </c>
      <c r="E92" s="1" t="s">
        <v>17</v>
      </c>
      <c r="F92" s="1">
        <v>1264.49</v>
      </c>
      <c r="G92" s="1">
        <v>16</v>
      </c>
      <c r="H92" s="1">
        <v>0.05</v>
      </c>
      <c r="I92" s="2">
        <v>45549</v>
      </c>
      <c r="J92" s="1">
        <v>480.51</v>
      </c>
      <c r="K92" s="4">
        <f>SUMIF(Table1[Customer_ID],Table1[[#This Row],[Customer_ID]],Table1[Sales])</f>
        <v>4418.2800000000007</v>
      </c>
      <c r="L92" s="18">
        <f t="shared" ca="1" si="2"/>
        <v>46111.750599537037</v>
      </c>
      <c r="M92" s="1" t="str">
        <f>TEXT(Table1[[#This Row],[Order_Date]],"mmm")</f>
        <v>Sep</v>
      </c>
    </row>
    <row r="93" spans="2:13">
      <c r="B93" s="1" t="s">
        <v>33</v>
      </c>
      <c r="C93" s="1" t="s">
        <v>81</v>
      </c>
      <c r="D93" s="1" t="s">
        <v>16</v>
      </c>
      <c r="E93" s="1" t="s">
        <v>40</v>
      </c>
      <c r="F93" s="1">
        <v>1101.55</v>
      </c>
      <c r="G93" s="1">
        <v>4</v>
      </c>
      <c r="H93" s="1">
        <v>0.1</v>
      </c>
      <c r="I93" s="2">
        <v>45551</v>
      </c>
      <c r="J93" s="1">
        <v>346.99</v>
      </c>
      <c r="K93" s="4">
        <f>SUMIF(Table1[Customer_ID],Table1[[#This Row],[Customer_ID]],Table1[Sales])</f>
        <v>9941.8799999999992</v>
      </c>
      <c r="L93" s="18">
        <f t="shared" ca="1" si="2"/>
        <v>46111.750599537037</v>
      </c>
      <c r="M93" s="1" t="str">
        <f>TEXT(Table1[[#This Row],[Order_Date]],"mmm")</f>
        <v>Sep</v>
      </c>
    </row>
    <row r="94" spans="2:13">
      <c r="B94" s="1" t="s">
        <v>86</v>
      </c>
      <c r="C94" s="1" t="s">
        <v>21</v>
      </c>
      <c r="D94" s="1" t="s">
        <v>31</v>
      </c>
      <c r="E94" s="1" t="s">
        <v>40</v>
      </c>
      <c r="F94" s="1">
        <v>727.73</v>
      </c>
      <c r="G94" s="1">
        <v>1</v>
      </c>
      <c r="H94" s="1">
        <v>0.1</v>
      </c>
      <c r="I94" s="2">
        <v>45552</v>
      </c>
      <c r="J94" s="1">
        <v>229.23</v>
      </c>
      <c r="K94" s="4">
        <f>SUMIF(Table1[Customer_ID],Table1[[#This Row],[Customer_ID]],Table1[Sales])</f>
        <v>4162.4400000000005</v>
      </c>
      <c r="L94" s="18">
        <f t="shared" ca="1" si="2"/>
        <v>46111.750599537037</v>
      </c>
      <c r="M94" s="1" t="str">
        <f>TEXT(Table1[[#This Row],[Order_Date]],"mmm")</f>
        <v>Sep</v>
      </c>
    </row>
    <row r="95" spans="2:13">
      <c r="B95" s="1" t="s">
        <v>87</v>
      </c>
      <c r="C95" s="1" t="s">
        <v>56</v>
      </c>
      <c r="D95" s="1" t="s">
        <v>27</v>
      </c>
      <c r="E95" s="1" t="s">
        <v>57</v>
      </c>
      <c r="F95" s="1">
        <v>875.41</v>
      </c>
      <c r="G95" s="1">
        <v>13</v>
      </c>
      <c r="H95" s="1">
        <v>0.15</v>
      </c>
      <c r="I95" s="2">
        <v>45552</v>
      </c>
      <c r="J95" s="1">
        <v>334.84</v>
      </c>
      <c r="K95" s="4">
        <f>SUMIF(Table1[Customer_ID],Table1[[#This Row],[Customer_ID]],Table1[Sales])</f>
        <v>3906.04</v>
      </c>
      <c r="L95" s="18">
        <f t="shared" ca="1" si="2"/>
        <v>46111.750599537037</v>
      </c>
      <c r="M95" s="1" t="str">
        <f>TEXT(Table1[[#This Row],[Order_Date]],"mmm")</f>
        <v>Sep</v>
      </c>
    </row>
    <row r="96" spans="2:13">
      <c r="B96" s="1" t="s">
        <v>23</v>
      </c>
      <c r="C96" s="1" t="s">
        <v>36</v>
      </c>
      <c r="D96" s="1" t="s">
        <v>16</v>
      </c>
      <c r="E96" s="1" t="s">
        <v>32</v>
      </c>
      <c r="F96" s="1">
        <v>1158.94</v>
      </c>
      <c r="G96" s="1">
        <v>19</v>
      </c>
      <c r="H96" s="1">
        <v>0.2</v>
      </c>
      <c r="I96" s="2">
        <v>45553</v>
      </c>
      <c r="J96" s="1">
        <v>231.79</v>
      </c>
      <c r="K96" s="4">
        <f>SUMIF(Table1[Customer_ID],Table1[[#This Row],[Customer_ID]],Table1[Sales])</f>
        <v>8490.18</v>
      </c>
      <c r="L96" s="18">
        <f t="shared" ca="1" si="2"/>
        <v>46111.750599537037</v>
      </c>
      <c r="M96" s="1" t="str">
        <f>TEXT(Table1[[#This Row],[Order_Date]],"mmm")</f>
        <v>Sep</v>
      </c>
    </row>
    <row r="97" spans="2:13">
      <c r="B97" s="1" t="s">
        <v>88</v>
      </c>
      <c r="C97" s="1" t="s">
        <v>65</v>
      </c>
      <c r="D97" s="1" t="s">
        <v>31</v>
      </c>
      <c r="E97" s="1" t="s">
        <v>17</v>
      </c>
      <c r="F97" s="1">
        <v>966.3</v>
      </c>
      <c r="G97" s="1">
        <v>2</v>
      </c>
      <c r="H97" s="1">
        <v>0.15</v>
      </c>
      <c r="I97" s="2">
        <v>45557</v>
      </c>
      <c r="J97" s="1">
        <v>328.54</v>
      </c>
      <c r="K97" s="4">
        <f>SUMIF(Table1[Customer_ID],Table1[[#This Row],[Customer_ID]],Table1[Sales])</f>
        <v>4951.8899999999994</v>
      </c>
      <c r="L97" s="18">
        <f t="shared" ca="1" si="2"/>
        <v>46111.750599537037</v>
      </c>
      <c r="M97" s="1" t="str">
        <f>TEXT(Table1[[#This Row],[Order_Date]],"mmm")</f>
        <v>Sep</v>
      </c>
    </row>
    <row r="98" spans="2:13">
      <c r="B98" s="1" t="s">
        <v>82</v>
      </c>
      <c r="C98" s="1" t="s">
        <v>26</v>
      </c>
      <c r="D98" s="1" t="s">
        <v>31</v>
      </c>
      <c r="E98" s="1" t="s">
        <v>17</v>
      </c>
      <c r="F98" s="1">
        <v>917.48</v>
      </c>
      <c r="G98" s="1">
        <v>6</v>
      </c>
      <c r="H98" s="1">
        <v>0</v>
      </c>
      <c r="I98" s="2">
        <v>45558</v>
      </c>
      <c r="J98" s="1">
        <v>366.99</v>
      </c>
      <c r="K98" s="4">
        <f>SUMIF(Table1[Customer_ID],Table1[[#This Row],[Customer_ID]],Table1[Sales])</f>
        <v>4413.71</v>
      </c>
      <c r="L98" s="18">
        <f t="shared" ca="1" si="2"/>
        <v>46111.750599537037</v>
      </c>
      <c r="M98" s="1" t="str">
        <f>TEXT(Table1[[#This Row],[Order_Date]],"mmm")</f>
        <v>Sep</v>
      </c>
    </row>
    <row r="99" spans="2:13">
      <c r="B99" s="1" t="s">
        <v>60</v>
      </c>
      <c r="C99" s="1" t="s">
        <v>76</v>
      </c>
      <c r="D99" s="1" t="s">
        <v>16</v>
      </c>
      <c r="E99" s="1" t="s">
        <v>40</v>
      </c>
      <c r="F99" s="1">
        <v>1172.97</v>
      </c>
      <c r="G99" s="1">
        <v>7</v>
      </c>
      <c r="H99" s="1">
        <v>0.15</v>
      </c>
      <c r="I99" s="2">
        <v>45559</v>
      </c>
      <c r="J99" s="1">
        <v>348.96</v>
      </c>
      <c r="K99" s="4">
        <f>SUMIF(Table1[Customer_ID],Table1[[#This Row],[Customer_ID]],Table1[Sales])</f>
        <v>5779.05</v>
      </c>
      <c r="L99" s="18">
        <f t="shared" ref="L99:L130" ca="1" si="3">NOW()</f>
        <v>46111.750599537037</v>
      </c>
      <c r="M99" s="1" t="str">
        <f>TEXT(Table1[[#This Row],[Order_Date]],"mmm")</f>
        <v>Sep</v>
      </c>
    </row>
    <row r="100" spans="2:13">
      <c r="B100" s="1" t="s">
        <v>48</v>
      </c>
      <c r="C100" s="1" t="s">
        <v>36</v>
      </c>
      <c r="D100" s="1" t="s">
        <v>37</v>
      </c>
      <c r="E100" s="1" t="s">
        <v>22</v>
      </c>
      <c r="F100" s="1">
        <v>1205.82</v>
      </c>
      <c r="G100" s="1">
        <v>11</v>
      </c>
      <c r="H100" s="1">
        <v>0.1</v>
      </c>
      <c r="I100" s="2">
        <v>45559</v>
      </c>
      <c r="J100" s="1">
        <v>542.62</v>
      </c>
      <c r="K100" s="4">
        <f>SUMIF(Table1[Customer_ID],Table1[[#This Row],[Customer_ID]],Table1[Sales])</f>
        <v>8740.18</v>
      </c>
      <c r="L100" s="18">
        <f t="shared" ca="1" si="3"/>
        <v>46111.750599537037</v>
      </c>
      <c r="M100" s="1" t="str">
        <f>TEXT(Table1[[#This Row],[Order_Date]],"mmm")</f>
        <v>Sep</v>
      </c>
    </row>
    <row r="101" spans="2:13">
      <c r="B101" s="1" t="s">
        <v>25</v>
      </c>
      <c r="C101" s="1" t="s">
        <v>79</v>
      </c>
      <c r="D101" s="1" t="s">
        <v>16</v>
      </c>
      <c r="E101" s="1" t="s">
        <v>57</v>
      </c>
      <c r="F101" s="1">
        <v>826.93</v>
      </c>
      <c r="G101" s="1">
        <v>10</v>
      </c>
      <c r="H101" s="1">
        <v>0.2</v>
      </c>
      <c r="I101" s="2">
        <v>45564</v>
      </c>
      <c r="J101" s="1">
        <v>297.69</v>
      </c>
      <c r="K101" s="4">
        <f>SUMIF(Table1[Customer_ID],Table1[[#This Row],[Customer_ID]],Table1[Sales])</f>
        <v>3419.2</v>
      </c>
      <c r="L101" s="18">
        <f t="shared" ca="1" si="3"/>
        <v>46111.750599537037</v>
      </c>
      <c r="M101" s="1" t="str">
        <f>TEXT(Table1[[#This Row],[Order_Date]],"mmm")</f>
        <v>Sep</v>
      </c>
    </row>
    <row r="102" spans="2:13">
      <c r="B102" s="1" t="s">
        <v>23</v>
      </c>
      <c r="C102" s="1" t="s">
        <v>36</v>
      </c>
      <c r="D102" s="1" t="s">
        <v>51</v>
      </c>
      <c r="E102" s="1" t="s">
        <v>22</v>
      </c>
      <c r="F102" s="1">
        <v>902.19</v>
      </c>
      <c r="G102" s="1">
        <v>12</v>
      </c>
      <c r="H102" s="1">
        <v>0</v>
      </c>
      <c r="I102" s="2">
        <v>45564</v>
      </c>
      <c r="J102" s="1">
        <v>451.1</v>
      </c>
      <c r="K102" s="4">
        <f>SUMIF(Table1[Customer_ID],Table1[[#This Row],[Customer_ID]],Table1[Sales])</f>
        <v>8490.18</v>
      </c>
      <c r="L102" s="18">
        <f t="shared" ca="1" si="3"/>
        <v>46111.750599537037</v>
      </c>
      <c r="M102" s="1" t="str">
        <f>TEXT(Table1[[#This Row],[Order_Date]],"mmm")</f>
        <v>Sep</v>
      </c>
    </row>
    <row r="103" spans="2:13">
      <c r="B103" s="1" t="s">
        <v>87</v>
      </c>
      <c r="C103" s="1" t="s">
        <v>56</v>
      </c>
      <c r="D103" s="1" t="s">
        <v>37</v>
      </c>
      <c r="E103" s="1" t="s">
        <v>17</v>
      </c>
      <c r="F103" s="1">
        <v>585.97</v>
      </c>
      <c r="G103" s="1">
        <v>17</v>
      </c>
      <c r="H103" s="1">
        <v>0.1</v>
      </c>
      <c r="I103" s="2">
        <v>45565</v>
      </c>
      <c r="J103" s="1">
        <v>210.95</v>
      </c>
      <c r="K103" s="4">
        <f>SUMIF(Table1[Customer_ID],Table1[[#This Row],[Customer_ID]],Table1[Sales])</f>
        <v>3906.04</v>
      </c>
      <c r="L103" s="18">
        <f t="shared" ca="1" si="3"/>
        <v>46111.750599537037</v>
      </c>
      <c r="M103" s="1" t="str">
        <f>TEXT(Table1[[#This Row],[Order_Date]],"mmm")</f>
        <v>Sep</v>
      </c>
    </row>
    <row r="104" spans="2:13">
      <c r="B104" s="1" t="s">
        <v>75</v>
      </c>
      <c r="C104" s="1" t="s">
        <v>39</v>
      </c>
      <c r="D104" s="1" t="s">
        <v>37</v>
      </c>
      <c r="E104" s="1" t="s">
        <v>22</v>
      </c>
      <c r="F104" s="1">
        <v>990.19</v>
      </c>
      <c r="G104" s="1">
        <v>8</v>
      </c>
      <c r="H104" s="1">
        <v>0.1</v>
      </c>
      <c r="I104" s="2">
        <v>45565</v>
      </c>
      <c r="J104" s="1">
        <v>445.59</v>
      </c>
      <c r="K104" s="4">
        <f>SUMIF(Table1[Customer_ID],Table1[[#This Row],[Customer_ID]],Table1[Sales])</f>
        <v>3369.17</v>
      </c>
      <c r="L104" s="18">
        <f t="shared" ca="1" si="3"/>
        <v>46111.750599537037</v>
      </c>
      <c r="M104" s="1" t="str">
        <f>TEXT(Table1[[#This Row],[Order_Date]],"mmm")</f>
        <v>Sep</v>
      </c>
    </row>
    <row r="105" spans="2:13">
      <c r="B105" s="1" t="s">
        <v>38</v>
      </c>
      <c r="C105" s="1" t="s">
        <v>73</v>
      </c>
      <c r="D105" s="1" t="s">
        <v>51</v>
      </c>
      <c r="E105" s="1" t="s">
        <v>32</v>
      </c>
      <c r="F105" s="1">
        <v>1014.09</v>
      </c>
      <c r="G105" s="1">
        <v>13</v>
      </c>
      <c r="H105" s="1">
        <v>0.2</v>
      </c>
      <c r="I105" s="2">
        <v>45567</v>
      </c>
      <c r="J105" s="1">
        <v>202.82</v>
      </c>
      <c r="K105" s="4">
        <f>SUMIF(Table1[Customer_ID],Table1[[#This Row],[Customer_ID]],Table1[Sales])</f>
        <v>9760.7999999999993</v>
      </c>
      <c r="L105" s="18">
        <f t="shared" ca="1" si="3"/>
        <v>46111.750599537037</v>
      </c>
      <c r="M105" s="1" t="str">
        <f>TEXT(Table1[[#This Row],[Order_Date]],"mmm")</f>
        <v>Oct</v>
      </c>
    </row>
    <row r="106" spans="2:13">
      <c r="B106" s="1" t="s">
        <v>20</v>
      </c>
      <c r="C106" s="1" t="s">
        <v>66</v>
      </c>
      <c r="D106" s="1" t="s">
        <v>37</v>
      </c>
      <c r="E106" s="1" t="s">
        <v>32</v>
      </c>
      <c r="F106" s="1">
        <v>925.29</v>
      </c>
      <c r="G106" s="1">
        <v>17</v>
      </c>
      <c r="H106" s="1">
        <v>0</v>
      </c>
      <c r="I106" s="2">
        <v>45570</v>
      </c>
      <c r="J106" s="1">
        <v>231.32</v>
      </c>
      <c r="K106" s="4">
        <f>SUMIF(Table1[Customer_ID],Table1[[#This Row],[Customer_ID]],Table1[Sales])</f>
        <v>8339</v>
      </c>
      <c r="L106" s="18">
        <f t="shared" ca="1" si="3"/>
        <v>46111.750599537037</v>
      </c>
      <c r="M106" s="1" t="str">
        <f>TEXT(Table1[[#This Row],[Order_Date]],"mmm")</f>
        <v>Oct</v>
      </c>
    </row>
    <row r="107" spans="2:13">
      <c r="B107" s="1" t="s">
        <v>71</v>
      </c>
      <c r="C107" s="1" t="s">
        <v>65</v>
      </c>
      <c r="D107" s="1" t="s">
        <v>27</v>
      </c>
      <c r="E107" s="1" t="s">
        <v>40</v>
      </c>
      <c r="F107" s="1">
        <v>1286.54</v>
      </c>
      <c r="G107" s="1">
        <v>8</v>
      </c>
      <c r="H107" s="1">
        <v>0</v>
      </c>
      <c r="I107" s="2">
        <v>45575</v>
      </c>
      <c r="J107" s="1">
        <v>450.29</v>
      </c>
      <c r="K107" s="4">
        <f>SUMIF(Table1[Customer_ID],Table1[[#This Row],[Customer_ID]],Table1[Sales])</f>
        <v>6716.52</v>
      </c>
      <c r="L107" s="18">
        <f t="shared" ca="1" si="3"/>
        <v>46111.750599537037</v>
      </c>
      <c r="M107" s="1" t="str">
        <f>TEXT(Table1[[#This Row],[Order_Date]],"mmm")</f>
        <v>Oct</v>
      </c>
    </row>
    <row r="108" spans="2:13">
      <c r="B108" s="1" t="s">
        <v>55</v>
      </c>
      <c r="C108" s="1" t="s">
        <v>79</v>
      </c>
      <c r="D108" s="1" t="s">
        <v>31</v>
      </c>
      <c r="E108" s="1" t="s">
        <v>17</v>
      </c>
      <c r="F108" s="1">
        <v>961.62</v>
      </c>
      <c r="G108" s="1">
        <v>8</v>
      </c>
      <c r="H108" s="1">
        <v>0.2</v>
      </c>
      <c r="I108" s="2">
        <v>45577</v>
      </c>
      <c r="J108" s="1">
        <v>307.72000000000003</v>
      </c>
      <c r="K108" s="4">
        <f>SUMIF(Table1[Customer_ID],Table1[[#This Row],[Customer_ID]],Table1[Sales])</f>
        <v>6729.8899999999994</v>
      </c>
      <c r="L108" s="18">
        <f t="shared" ca="1" si="3"/>
        <v>46111.750599537037</v>
      </c>
      <c r="M108" s="1" t="str">
        <f>TEXT(Table1[[#This Row],[Order_Date]],"mmm")</f>
        <v>Oct</v>
      </c>
    </row>
    <row r="109" spans="2:13">
      <c r="B109" s="1" t="s">
        <v>38</v>
      </c>
      <c r="C109" s="1" t="s">
        <v>36</v>
      </c>
      <c r="D109" s="1" t="s">
        <v>27</v>
      </c>
      <c r="E109" s="1" t="s">
        <v>17</v>
      </c>
      <c r="F109" s="1">
        <v>1081.1400000000001</v>
      </c>
      <c r="G109" s="1">
        <v>19</v>
      </c>
      <c r="H109" s="1">
        <v>0.15</v>
      </c>
      <c r="I109" s="2">
        <v>45577</v>
      </c>
      <c r="J109" s="1">
        <v>367.59</v>
      </c>
      <c r="K109" s="4">
        <f>SUMIF(Table1[Customer_ID],Table1[[#This Row],[Customer_ID]],Table1[Sales])</f>
        <v>9760.7999999999993</v>
      </c>
      <c r="L109" s="18">
        <f t="shared" ca="1" si="3"/>
        <v>46111.750599537037</v>
      </c>
      <c r="M109" s="1" t="str">
        <f>TEXT(Table1[[#This Row],[Order_Date]],"mmm")</f>
        <v>Oct</v>
      </c>
    </row>
    <row r="110" spans="2:13">
      <c r="B110" s="1" t="s">
        <v>44</v>
      </c>
      <c r="C110" s="1" t="s">
        <v>36</v>
      </c>
      <c r="D110" s="1" t="s">
        <v>16</v>
      </c>
      <c r="E110" s="1" t="s">
        <v>22</v>
      </c>
      <c r="F110" s="1">
        <v>1923.66</v>
      </c>
      <c r="G110" s="1">
        <v>9</v>
      </c>
      <c r="H110" s="1">
        <v>0.2</v>
      </c>
      <c r="I110" s="2">
        <v>45580</v>
      </c>
      <c r="J110" s="1">
        <v>769.46</v>
      </c>
      <c r="K110" s="4">
        <f>SUMIF(Table1[Customer_ID],Table1[[#This Row],[Customer_ID]],Table1[Sales])</f>
        <v>11611.060000000001</v>
      </c>
      <c r="L110" s="18">
        <f t="shared" ca="1" si="3"/>
        <v>46111.750599537037</v>
      </c>
      <c r="M110" s="1" t="str">
        <f>TEXT(Table1[[#This Row],[Order_Date]],"mmm")</f>
        <v>Oct</v>
      </c>
    </row>
    <row r="111" spans="2:13">
      <c r="B111" s="1" t="s">
        <v>71</v>
      </c>
      <c r="C111" s="1" t="s">
        <v>81</v>
      </c>
      <c r="D111" s="1" t="s">
        <v>51</v>
      </c>
      <c r="E111" s="1" t="s">
        <v>22</v>
      </c>
      <c r="F111" s="1">
        <v>728.71</v>
      </c>
      <c r="G111" s="1">
        <v>14</v>
      </c>
      <c r="H111" s="1">
        <v>0.1</v>
      </c>
      <c r="I111" s="2">
        <v>45581</v>
      </c>
      <c r="J111" s="1">
        <v>327.92</v>
      </c>
      <c r="K111" s="4">
        <f>SUMIF(Table1[Customer_ID],Table1[[#This Row],[Customer_ID]],Table1[Sales])</f>
        <v>6716.52</v>
      </c>
      <c r="L111" s="18">
        <f t="shared" ca="1" si="3"/>
        <v>46111.750599537037</v>
      </c>
      <c r="M111" s="1" t="str">
        <f>TEXT(Table1[[#This Row],[Order_Date]],"mmm")</f>
        <v>Oct</v>
      </c>
    </row>
    <row r="112" spans="2:13">
      <c r="B112" s="1" t="s">
        <v>14</v>
      </c>
      <c r="C112" s="1" t="s">
        <v>50</v>
      </c>
      <c r="D112" s="1" t="s">
        <v>51</v>
      </c>
      <c r="E112" s="1" t="s">
        <v>22</v>
      </c>
      <c r="F112" s="1">
        <v>1301.8900000000001</v>
      </c>
      <c r="G112" s="1">
        <v>7</v>
      </c>
      <c r="H112" s="1">
        <v>0.15</v>
      </c>
      <c r="I112" s="2">
        <v>45581</v>
      </c>
      <c r="J112" s="1">
        <v>553.29999999999995</v>
      </c>
      <c r="K112" s="4">
        <f>SUMIF(Table1[Customer_ID],Table1[[#This Row],[Customer_ID]],Table1[Sales])</f>
        <v>4640.1099999999997</v>
      </c>
      <c r="L112" s="18">
        <f t="shared" ca="1" si="3"/>
        <v>46111.750599537037</v>
      </c>
      <c r="M112" s="1" t="str">
        <f>TEXT(Table1[[#This Row],[Order_Date]],"mmm")</f>
        <v>Oct</v>
      </c>
    </row>
    <row r="113" spans="2:13">
      <c r="B113" s="1" t="s">
        <v>84</v>
      </c>
      <c r="C113" s="1" t="s">
        <v>81</v>
      </c>
      <c r="D113" s="1" t="s">
        <v>27</v>
      </c>
      <c r="E113" s="1" t="s">
        <v>17</v>
      </c>
      <c r="F113" s="1">
        <v>980.18</v>
      </c>
      <c r="G113" s="1">
        <v>16</v>
      </c>
      <c r="H113" s="1">
        <v>0.1</v>
      </c>
      <c r="I113" s="2">
        <v>45582</v>
      </c>
      <c r="J113" s="1">
        <v>352.86</v>
      </c>
      <c r="K113" s="4">
        <f>SUMIF(Table1[Customer_ID],Table1[[#This Row],[Customer_ID]],Table1[Sales])</f>
        <v>7583.1299999999992</v>
      </c>
      <c r="L113" s="18">
        <f t="shared" ca="1" si="3"/>
        <v>46111.750599537037</v>
      </c>
      <c r="M113" s="1" t="str">
        <f>TEXT(Table1[[#This Row],[Order_Date]],"mmm")</f>
        <v>Oct</v>
      </c>
    </row>
    <row r="114" spans="2:13">
      <c r="B114" s="1" t="s">
        <v>87</v>
      </c>
      <c r="C114" s="1" t="s">
        <v>36</v>
      </c>
      <c r="D114" s="1" t="s">
        <v>16</v>
      </c>
      <c r="E114" s="1" t="s">
        <v>22</v>
      </c>
      <c r="F114" s="1">
        <v>697.57</v>
      </c>
      <c r="G114" s="1">
        <v>17</v>
      </c>
      <c r="H114" s="1">
        <v>0.1</v>
      </c>
      <c r="I114" s="2">
        <v>45584</v>
      </c>
      <c r="J114" s="1">
        <v>313.91000000000003</v>
      </c>
      <c r="K114" s="4">
        <f>SUMIF(Table1[Customer_ID],Table1[[#This Row],[Customer_ID]],Table1[Sales])</f>
        <v>3906.04</v>
      </c>
      <c r="L114" s="18">
        <f t="shared" ca="1" si="3"/>
        <v>46111.750599537037</v>
      </c>
      <c r="M114" s="1" t="str">
        <f>TEXT(Table1[[#This Row],[Order_Date]],"mmm")</f>
        <v>Oct</v>
      </c>
    </row>
    <row r="115" spans="2:13">
      <c r="B115" s="1" t="s">
        <v>64</v>
      </c>
      <c r="C115" s="1" t="s">
        <v>85</v>
      </c>
      <c r="D115" s="1" t="s">
        <v>16</v>
      </c>
      <c r="E115" s="1" t="s">
        <v>40</v>
      </c>
      <c r="F115" s="1">
        <v>1193.6099999999999</v>
      </c>
      <c r="G115" s="1">
        <v>1</v>
      </c>
      <c r="H115" s="1">
        <v>0.15</v>
      </c>
      <c r="I115" s="2">
        <v>45584</v>
      </c>
      <c r="J115" s="1">
        <v>355.1</v>
      </c>
      <c r="K115" s="4">
        <f>SUMIF(Table1[Customer_ID],Table1[[#This Row],[Customer_ID]],Table1[Sales])</f>
        <v>2699.75</v>
      </c>
      <c r="L115" s="18">
        <f t="shared" ca="1" si="3"/>
        <v>46111.750599537037</v>
      </c>
      <c r="M115" s="1" t="str">
        <f>TEXT(Table1[[#This Row],[Order_Date]],"mmm")</f>
        <v>Oct</v>
      </c>
    </row>
    <row r="116" spans="2:13">
      <c r="B116" s="1" t="s">
        <v>49</v>
      </c>
      <c r="C116" s="1" t="s">
        <v>56</v>
      </c>
      <c r="D116" s="1" t="s">
        <v>31</v>
      </c>
      <c r="E116" s="1" t="s">
        <v>32</v>
      </c>
      <c r="F116" s="1">
        <v>771.02</v>
      </c>
      <c r="G116" s="1">
        <v>1</v>
      </c>
      <c r="H116" s="1">
        <v>0</v>
      </c>
      <c r="I116" s="2">
        <v>45585</v>
      </c>
      <c r="J116" s="1">
        <v>192.76</v>
      </c>
      <c r="K116" s="4">
        <f>SUMIF(Table1[Customer_ID],Table1[[#This Row],[Customer_ID]],Table1[Sales])</f>
        <v>6505.2</v>
      </c>
      <c r="L116" s="18">
        <f t="shared" ca="1" si="3"/>
        <v>46111.750599537037</v>
      </c>
      <c r="M116" s="1" t="str">
        <f>TEXT(Table1[[#This Row],[Order_Date]],"mmm")</f>
        <v>Oct</v>
      </c>
    </row>
    <row r="117" spans="2:13">
      <c r="B117" s="1" t="s">
        <v>23</v>
      </c>
      <c r="C117" s="1" t="s">
        <v>83</v>
      </c>
      <c r="D117" s="1" t="s">
        <v>37</v>
      </c>
      <c r="E117" s="1" t="s">
        <v>22</v>
      </c>
      <c r="F117" s="1">
        <v>661.09</v>
      </c>
      <c r="G117" s="1">
        <v>1</v>
      </c>
      <c r="H117" s="1">
        <v>0.2</v>
      </c>
      <c r="I117" s="2">
        <v>45593</v>
      </c>
      <c r="J117" s="1">
        <v>264.44</v>
      </c>
      <c r="K117" s="4">
        <f>SUMIF(Table1[Customer_ID],Table1[[#This Row],[Customer_ID]],Table1[Sales])</f>
        <v>8490.18</v>
      </c>
      <c r="L117" s="18">
        <f t="shared" ca="1" si="3"/>
        <v>46111.750599537037</v>
      </c>
      <c r="M117" s="1" t="str">
        <f>TEXT(Table1[[#This Row],[Order_Date]],"mmm")</f>
        <v>Oct</v>
      </c>
    </row>
    <row r="118" spans="2:13">
      <c r="B118" s="1" t="s">
        <v>20</v>
      </c>
      <c r="C118" s="1" t="s">
        <v>72</v>
      </c>
      <c r="D118" s="1" t="s">
        <v>16</v>
      </c>
      <c r="E118" s="1" t="s">
        <v>32</v>
      </c>
      <c r="F118" s="1">
        <v>688.83</v>
      </c>
      <c r="G118" s="1">
        <v>15</v>
      </c>
      <c r="H118" s="1">
        <v>0</v>
      </c>
      <c r="I118" s="2">
        <v>45595</v>
      </c>
      <c r="J118" s="1">
        <v>172.21</v>
      </c>
      <c r="K118" s="4">
        <f>SUMIF(Table1[Customer_ID],Table1[[#This Row],[Customer_ID]],Table1[Sales])</f>
        <v>8339</v>
      </c>
      <c r="L118" s="18">
        <f t="shared" ca="1" si="3"/>
        <v>46111.750599537037</v>
      </c>
      <c r="M118" s="1" t="str">
        <f>TEXT(Table1[[#This Row],[Order_Date]],"mmm")</f>
        <v>Oct</v>
      </c>
    </row>
    <row r="119" spans="2:13">
      <c r="B119" s="1" t="s">
        <v>86</v>
      </c>
      <c r="C119" s="1" t="s">
        <v>43</v>
      </c>
      <c r="D119" s="1" t="s">
        <v>51</v>
      </c>
      <c r="E119" s="1" t="s">
        <v>17</v>
      </c>
      <c r="F119" s="1">
        <v>1249.0999999999999</v>
      </c>
      <c r="G119" s="1">
        <v>4</v>
      </c>
      <c r="H119" s="1">
        <v>0.05</v>
      </c>
      <c r="I119" s="2">
        <v>45597</v>
      </c>
      <c r="J119" s="1">
        <v>474.66</v>
      </c>
      <c r="K119" s="4">
        <f>SUMIF(Table1[Customer_ID],Table1[[#This Row],[Customer_ID]],Table1[Sales])</f>
        <v>4162.4400000000005</v>
      </c>
      <c r="L119" s="18">
        <f t="shared" ca="1" si="3"/>
        <v>46111.750599537037</v>
      </c>
      <c r="M119" s="1" t="str">
        <f>TEXT(Table1[[#This Row],[Order_Date]],"mmm")</f>
        <v>Nov</v>
      </c>
    </row>
    <row r="120" spans="2:13">
      <c r="B120" s="1" t="s">
        <v>38</v>
      </c>
      <c r="C120" s="1" t="s">
        <v>36</v>
      </c>
      <c r="D120" s="1" t="s">
        <v>27</v>
      </c>
      <c r="E120" s="1" t="s">
        <v>57</v>
      </c>
      <c r="F120" s="1">
        <v>1014.22</v>
      </c>
      <c r="G120" s="1">
        <v>14</v>
      </c>
      <c r="H120" s="1">
        <v>0.05</v>
      </c>
      <c r="I120" s="2">
        <v>45599</v>
      </c>
      <c r="J120" s="1">
        <v>433.58</v>
      </c>
      <c r="K120" s="4">
        <f>SUMIF(Table1[Customer_ID],Table1[[#This Row],[Customer_ID]],Table1[Sales])</f>
        <v>9760.7999999999993</v>
      </c>
      <c r="L120" s="18">
        <f t="shared" ca="1" si="3"/>
        <v>46111.750599537037</v>
      </c>
      <c r="M120" s="1" t="str">
        <f>TEXT(Table1[[#This Row],[Order_Date]],"mmm")</f>
        <v>Nov</v>
      </c>
    </row>
    <row r="121" spans="2:13">
      <c r="B121" s="1" t="s">
        <v>71</v>
      </c>
      <c r="C121" s="1" t="s">
        <v>66</v>
      </c>
      <c r="D121" s="1" t="s">
        <v>27</v>
      </c>
      <c r="E121" s="1" t="s">
        <v>17</v>
      </c>
      <c r="F121" s="1">
        <v>1010.58</v>
      </c>
      <c r="G121" s="1">
        <v>2</v>
      </c>
      <c r="H121" s="1">
        <v>0.15</v>
      </c>
      <c r="I121" s="2">
        <v>45605</v>
      </c>
      <c r="J121" s="1">
        <v>343.6</v>
      </c>
      <c r="K121" s="4">
        <f>SUMIF(Table1[Customer_ID],Table1[[#This Row],[Customer_ID]],Table1[Sales])</f>
        <v>6716.52</v>
      </c>
      <c r="L121" s="18">
        <f t="shared" ca="1" si="3"/>
        <v>46111.750599537037</v>
      </c>
      <c r="M121" s="1" t="str">
        <f>TEXT(Table1[[#This Row],[Order_Date]],"mmm")</f>
        <v>Nov</v>
      </c>
    </row>
    <row r="122" spans="2:13">
      <c r="B122" s="1" t="s">
        <v>46</v>
      </c>
      <c r="C122" s="1" t="s">
        <v>74</v>
      </c>
      <c r="D122" s="1" t="s">
        <v>37</v>
      </c>
      <c r="E122" s="1" t="s">
        <v>40</v>
      </c>
      <c r="F122" s="1">
        <v>957.29</v>
      </c>
      <c r="G122" s="1">
        <v>4</v>
      </c>
      <c r="H122" s="1">
        <v>0.05</v>
      </c>
      <c r="I122" s="2">
        <v>45605</v>
      </c>
      <c r="J122" s="1">
        <v>318.3</v>
      </c>
      <c r="K122" s="4">
        <f>SUMIF(Table1[Customer_ID],Table1[[#This Row],[Customer_ID]],Table1[Sales])</f>
        <v>9371.81</v>
      </c>
      <c r="L122" s="18">
        <f t="shared" ca="1" si="3"/>
        <v>46111.750599537037</v>
      </c>
      <c r="M122" s="1" t="str">
        <f>TEXT(Table1[[#This Row],[Order_Date]],"mmm")</f>
        <v>Nov</v>
      </c>
    </row>
    <row r="123" spans="2:13">
      <c r="B123" s="1" t="s">
        <v>42</v>
      </c>
      <c r="C123" s="1" t="s">
        <v>63</v>
      </c>
      <c r="D123" s="1" t="s">
        <v>37</v>
      </c>
      <c r="E123" s="1" t="s">
        <v>40</v>
      </c>
      <c r="F123" s="1">
        <v>1077.92</v>
      </c>
      <c r="G123" s="1">
        <v>3</v>
      </c>
      <c r="H123" s="1">
        <v>0.05</v>
      </c>
      <c r="I123" s="2">
        <v>45608</v>
      </c>
      <c r="J123" s="1">
        <v>358.41</v>
      </c>
      <c r="K123" s="4">
        <f>SUMIF(Table1[Customer_ID],Table1[[#This Row],[Customer_ID]],Table1[Sales])</f>
        <v>6549.55</v>
      </c>
      <c r="L123" s="18">
        <f t="shared" ca="1" si="3"/>
        <v>46111.750599537037</v>
      </c>
      <c r="M123" s="1" t="str">
        <f>TEXT(Table1[[#This Row],[Order_Date]],"mmm")</f>
        <v>Nov</v>
      </c>
    </row>
    <row r="124" spans="2:13">
      <c r="B124" s="1" t="s">
        <v>54</v>
      </c>
      <c r="C124" s="1" t="s">
        <v>68</v>
      </c>
      <c r="D124" s="1" t="s">
        <v>31</v>
      </c>
      <c r="E124" s="1" t="s">
        <v>22</v>
      </c>
      <c r="F124" s="1">
        <v>1163.01</v>
      </c>
      <c r="G124" s="1">
        <v>5</v>
      </c>
      <c r="H124" s="1">
        <v>0</v>
      </c>
      <c r="I124" s="2">
        <v>45611</v>
      </c>
      <c r="J124" s="1">
        <v>581.5</v>
      </c>
      <c r="K124" s="4">
        <f>SUMIF(Table1[Customer_ID],Table1[[#This Row],[Customer_ID]],Table1[Sales])</f>
        <v>10293.870000000001</v>
      </c>
      <c r="L124" s="18">
        <f t="shared" ca="1" si="3"/>
        <v>46111.750599537037</v>
      </c>
      <c r="M124" s="1" t="str">
        <f>TEXT(Table1[[#This Row],[Order_Date]],"mmm")</f>
        <v>Nov</v>
      </c>
    </row>
    <row r="125" spans="2:13">
      <c r="B125" s="1" t="s">
        <v>71</v>
      </c>
      <c r="C125" s="1" t="s">
        <v>63</v>
      </c>
      <c r="D125" s="1" t="s">
        <v>27</v>
      </c>
      <c r="E125" s="1" t="s">
        <v>57</v>
      </c>
      <c r="F125" s="1">
        <v>1014.56</v>
      </c>
      <c r="G125" s="1">
        <v>10</v>
      </c>
      <c r="H125" s="1">
        <v>0.1</v>
      </c>
      <c r="I125" s="2">
        <v>45612</v>
      </c>
      <c r="J125" s="1">
        <v>410.9</v>
      </c>
      <c r="K125" s="4">
        <f>SUMIF(Table1[Customer_ID],Table1[[#This Row],[Customer_ID]],Table1[Sales])</f>
        <v>6716.52</v>
      </c>
      <c r="L125" s="18">
        <f t="shared" ca="1" si="3"/>
        <v>46111.750599537037</v>
      </c>
      <c r="M125" s="1" t="str">
        <f>TEXT(Table1[[#This Row],[Order_Date]],"mmm")</f>
        <v>Nov</v>
      </c>
    </row>
    <row r="126" spans="2:13">
      <c r="B126" s="1" t="s">
        <v>14</v>
      </c>
      <c r="C126" s="1" t="s">
        <v>26</v>
      </c>
      <c r="D126" s="1" t="s">
        <v>31</v>
      </c>
      <c r="E126" s="1" t="s">
        <v>32</v>
      </c>
      <c r="F126" s="1">
        <v>718.04</v>
      </c>
      <c r="G126" s="1">
        <v>14</v>
      </c>
      <c r="H126" s="1">
        <v>0</v>
      </c>
      <c r="I126" s="2">
        <v>45613</v>
      </c>
      <c r="J126" s="1">
        <v>179.51</v>
      </c>
      <c r="K126" s="4">
        <f>SUMIF(Table1[Customer_ID],Table1[[#This Row],[Customer_ID]],Table1[Sales])</f>
        <v>4640.1099999999997</v>
      </c>
      <c r="L126" s="18">
        <f t="shared" ca="1" si="3"/>
        <v>46111.750599537037</v>
      </c>
      <c r="M126" s="1" t="str">
        <f>TEXT(Table1[[#This Row],[Order_Date]],"mmm")</f>
        <v>Nov</v>
      </c>
    </row>
    <row r="127" spans="2:13">
      <c r="B127" s="1" t="s">
        <v>28</v>
      </c>
      <c r="C127" s="1" t="s">
        <v>26</v>
      </c>
      <c r="D127" s="1" t="s">
        <v>51</v>
      </c>
      <c r="E127" s="1" t="s">
        <v>22</v>
      </c>
      <c r="F127" s="1">
        <v>1277.8499999999999</v>
      </c>
      <c r="G127" s="1">
        <v>18</v>
      </c>
      <c r="H127" s="1">
        <v>0.2</v>
      </c>
      <c r="I127" s="2">
        <v>45613</v>
      </c>
      <c r="J127" s="1">
        <v>511.14</v>
      </c>
      <c r="K127" s="4">
        <f>SUMIF(Table1[Customer_ID],Table1[[#This Row],[Customer_ID]],Table1[Sales])</f>
        <v>7813.59</v>
      </c>
      <c r="L127" s="18">
        <f t="shared" ca="1" si="3"/>
        <v>46111.750599537037</v>
      </c>
      <c r="M127" s="1" t="str">
        <f>TEXT(Table1[[#This Row],[Order_Date]],"mmm")</f>
        <v>Nov</v>
      </c>
    </row>
    <row r="128" spans="2:13">
      <c r="B128" s="1" t="s">
        <v>84</v>
      </c>
      <c r="C128" s="1" t="s">
        <v>36</v>
      </c>
      <c r="D128" s="1" t="s">
        <v>37</v>
      </c>
      <c r="E128" s="1" t="s">
        <v>32</v>
      </c>
      <c r="F128" s="1">
        <v>706.73</v>
      </c>
      <c r="G128" s="1">
        <v>1</v>
      </c>
      <c r="H128" s="1">
        <v>0.15</v>
      </c>
      <c r="I128" s="2">
        <v>45613</v>
      </c>
      <c r="J128" s="1">
        <v>150.18</v>
      </c>
      <c r="K128" s="4">
        <f>SUMIF(Table1[Customer_ID],Table1[[#This Row],[Customer_ID]],Table1[Sales])</f>
        <v>7583.1299999999992</v>
      </c>
      <c r="L128" s="18">
        <f t="shared" ca="1" si="3"/>
        <v>46111.750599537037</v>
      </c>
      <c r="M128" s="1" t="str">
        <f>TEXT(Table1[[#This Row],[Order_Date]],"mmm")</f>
        <v>Nov</v>
      </c>
    </row>
    <row r="129" spans="2:13">
      <c r="B129" s="1" t="s">
        <v>80</v>
      </c>
      <c r="C129" s="1" t="s">
        <v>68</v>
      </c>
      <c r="D129" s="1" t="s">
        <v>27</v>
      </c>
      <c r="E129" s="1" t="s">
        <v>32</v>
      </c>
      <c r="F129" s="1">
        <v>1410.59</v>
      </c>
      <c r="G129" s="1">
        <v>15</v>
      </c>
      <c r="H129" s="1">
        <v>0</v>
      </c>
      <c r="I129" s="2">
        <v>45615</v>
      </c>
      <c r="J129" s="1">
        <v>352.65</v>
      </c>
      <c r="K129" s="4">
        <f>SUMIF(Table1[Customer_ID],Table1[[#This Row],[Customer_ID]],Table1[Sales])</f>
        <v>6481.43</v>
      </c>
      <c r="L129" s="18">
        <f t="shared" ca="1" si="3"/>
        <v>46111.750599537037</v>
      </c>
      <c r="M129" s="1" t="str">
        <f>TEXT(Table1[[#This Row],[Order_Date]],"mmm")</f>
        <v>Nov</v>
      </c>
    </row>
    <row r="130" spans="2:13">
      <c r="B130" s="1" t="s">
        <v>49</v>
      </c>
      <c r="C130" s="1" t="s">
        <v>76</v>
      </c>
      <c r="D130" s="1" t="s">
        <v>31</v>
      </c>
      <c r="E130" s="1" t="s">
        <v>40</v>
      </c>
      <c r="F130" s="1">
        <v>1350.33</v>
      </c>
      <c r="G130" s="1">
        <v>10</v>
      </c>
      <c r="H130" s="1">
        <v>0</v>
      </c>
      <c r="I130" s="2">
        <v>45615</v>
      </c>
      <c r="J130" s="1">
        <v>472.62</v>
      </c>
      <c r="K130" s="4">
        <f>SUMIF(Table1[Customer_ID],Table1[[#This Row],[Customer_ID]],Table1[Sales])</f>
        <v>6505.2</v>
      </c>
      <c r="L130" s="18">
        <f t="shared" ca="1" si="3"/>
        <v>46111.750599537037</v>
      </c>
      <c r="M130" s="1" t="str">
        <f>TEXT(Table1[[#This Row],[Order_Date]],"mmm")</f>
        <v>Nov</v>
      </c>
    </row>
    <row r="131" spans="2:13">
      <c r="B131" s="1" t="s">
        <v>60</v>
      </c>
      <c r="C131" s="1" t="s">
        <v>63</v>
      </c>
      <c r="D131" s="1" t="s">
        <v>27</v>
      </c>
      <c r="E131" s="1" t="s">
        <v>32</v>
      </c>
      <c r="F131" s="1">
        <v>919.18</v>
      </c>
      <c r="G131" s="1">
        <v>4</v>
      </c>
      <c r="H131" s="1">
        <v>0.15</v>
      </c>
      <c r="I131" s="2">
        <v>45615</v>
      </c>
      <c r="J131" s="1">
        <v>195.33</v>
      </c>
      <c r="K131" s="4">
        <f>SUMIF(Table1[Customer_ID],Table1[[#This Row],[Customer_ID]],Table1[Sales])</f>
        <v>5779.05</v>
      </c>
      <c r="L131" s="18">
        <f t="shared" ref="L131:L162" ca="1" si="4">NOW()</f>
        <v>46111.750599537037</v>
      </c>
      <c r="M131" s="1" t="str">
        <f>TEXT(Table1[[#This Row],[Order_Date]],"mmm")</f>
        <v>Nov</v>
      </c>
    </row>
    <row r="132" spans="2:13">
      <c r="B132" s="1" t="s">
        <v>87</v>
      </c>
      <c r="C132" s="1" t="s">
        <v>36</v>
      </c>
      <c r="D132" s="1" t="s">
        <v>16</v>
      </c>
      <c r="E132" s="1" t="s">
        <v>32</v>
      </c>
      <c r="F132" s="1">
        <v>258.51</v>
      </c>
      <c r="G132" s="1">
        <v>19</v>
      </c>
      <c r="H132" s="1">
        <v>0</v>
      </c>
      <c r="I132" s="2">
        <v>45616</v>
      </c>
      <c r="J132" s="1">
        <v>64.63</v>
      </c>
      <c r="K132" s="4">
        <f>SUMIF(Table1[Customer_ID],Table1[[#This Row],[Customer_ID]],Table1[Sales])</f>
        <v>3906.04</v>
      </c>
      <c r="L132" s="18">
        <f t="shared" ca="1" si="4"/>
        <v>46111.750599537037</v>
      </c>
      <c r="M132" s="1" t="str">
        <f>TEXT(Table1[[#This Row],[Order_Date]],"mmm")</f>
        <v>Nov</v>
      </c>
    </row>
    <row r="133" spans="2:13">
      <c r="B133" s="1" t="s">
        <v>78</v>
      </c>
      <c r="C133" s="1" t="s">
        <v>76</v>
      </c>
      <c r="D133" s="1" t="s">
        <v>27</v>
      </c>
      <c r="E133" s="1" t="s">
        <v>17</v>
      </c>
      <c r="F133" s="1">
        <v>1213.48</v>
      </c>
      <c r="G133" s="1">
        <v>5</v>
      </c>
      <c r="H133" s="1">
        <v>0.05</v>
      </c>
      <c r="I133" s="2">
        <v>45616</v>
      </c>
      <c r="J133" s="1">
        <v>461.12</v>
      </c>
      <c r="K133" s="4">
        <f>SUMIF(Table1[Customer_ID],Table1[[#This Row],[Customer_ID]],Table1[Sales])</f>
        <v>3762.2900000000004</v>
      </c>
      <c r="L133" s="18">
        <f t="shared" ca="1" si="4"/>
        <v>46111.750599537037</v>
      </c>
      <c r="M133" s="1" t="str">
        <f>TEXT(Table1[[#This Row],[Order_Date]],"mmm")</f>
        <v>Nov</v>
      </c>
    </row>
    <row r="134" spans="2:13">
      <c r="B134" s="1" t="s">
        <v>48</v>
      </c>
      <c r="C134" s="1" t="s">
        <v>56</v>
      </c>
      <c r="D134" s="1" t="s">
        <v>51</v>
      </c>
      <c r="E134" s="1" t="s">
        <v>17</v>
      </c>
      <c r="F134" s="1">
        <v>1150.28</v>
      </c>
      <c r="G134" s="1">
        <v>8</v>
      </c>
      <c r="H134" s="1">
        <v>0.05</v>
      </c>
      <c r="I134" s="2">
        <v>45622</v>
      </c>
      <c r="J134" s="1">
        <v>437.11</v>
      </c>
      <c r="K134" s="4">
        <f>SUMIF(Table1[Customer_ID],Table1[[#This Row],[Customer_ID]],Table1[Sales])</f>
        <v>8740.18</v>
      </c>
      <c r="L134" s="18">
        <f t="shared" ca="1" si="4"/>
        <v>46111.750599537037</v>
      </c>
      <c r="M134" s="1" t="str">
        <f>TEXT(Table1[[#This Row],[Order_Date]],"mmm")</f>
        <v>Nov</v>
      </c>
    </row>
    <row r="135" spans="2:13">
      <c r="B135" s="1" t="s">
        <v>55</v>
      </c>
      <c r="C135" s="1" t="s">
        <v>85</v>
      </c>
      <c r="D135" s="1" t="s">
        <v>31</v>
      </c>
      <c r="E135" s="1" t="s">
        <v>40</v>
      </c>
      <c r="F135" s="1">
        <v>853.86</v>
      </c>
      <c r="G135" s="1">
        <v>8</v>
      </c>
      <c r="H135" s="1">
        <v>0.1</v>
      </c>
      <c r="I135" s="2">
        <v>45622</v>
      </c>
      <c r="J135" s="1">
        <v>268.97000000000003</v>
      </c>
      <c r="K135" s="4">
        <f>SUMIF(Table1[Customer_ID],Table1[[#This Row],[Customer_ID]],Table1[Sales])</f>
        <v>6729.8899999999994</v>
      </c>
      <c r="L135" s="18">
        <f t="shared" ca="1" si="4"/>
        <v>46111.750599537037</v>
      </c>
      <c r="M135" s="1" t="str">
        <f>TEXT(Table1[[#This Row],[Order_Date]],"mmm")</f>
        <v>Nov</v>
      </c>
    </row>
    <row r="136" spans="2:13">
      <c r="B136" s="1" t="s">
        <v>88</v>
      </c>
      <c r="C136" s="1" t="s">
        <v>63</v>
      </c>
      <c r="D136" s="1" t="s">
        <v>31</v>
      </c>
      <c r="E136" s="1" t="s">
        <v>32</v>
      </c>
      <c r="F136" s="1">
        <v>1061.04</v>
      </c>
      <c r="G136" s="1">
        <v>1</v>
      </c>
      <c r="H136" s="1">
        <v>0</v>
      </c>
      <c r="I136" s="2">
        <v>45624</v>
      </c>
      <c r="J136" s="1">
        <v>265.26</v>
      </c>
      <c r="K136" s="4">
        <f>SUMIF(Table1[Customer_ID],Table1[[#This Row],[Customer_ID]],Table1[Sales])</f>
        <v>4951.8899999999994</v>
      </c>
      <c r="L136" s="18">
        <f t="shared" ca="1" si="4"/>
        <v>46111.750599537037</v>
      </c>
      <c r="M136" s="1" t="str">
        <f>TEXT(Table1[[#This Row],[Order_Date]],"mmm")</f>
        <v>Nov</v>
      </c>
    </row>
    <row r="137" spans="2:13">
      <c r="B137" s="1" t="s">
        <v>42</v>
      </c>
      <c r="C137" s="1" t="s">
        <v>62</v>
      </c>
      <c r="D137" s="1" t="s">
        <v>16</v>
      </c>
      <c r="E137" s="1" t="s">
        <v>32</v>
      </c>
      <c r="F137" s="1">
        <v>894.55</v>
      </c>
      <c r="G137" s="1">
        <v>19</v>
      </c>
      <c r="H137" s="1">
        <v>0.2</v>
      </c>
      <c r="I137" s="2">
        <v>45625</v>
      </c>
      <c r="J137" s="1">
        <v>178.91</v>
      </c>
      <c r="K137" s="4">
        <f>SUMIF(Table1[Customer_ID],Table1[[#This Row],[Customer_ID]],Table1[Sales])</f>
        <v>6549.55</v>
      </c>
      <c r="L137" s="18">
        <f t="shared" ca="1" si="4"/>
        <v>46111.750599537037</v>
      </c>
      <c r="M137" s="1" t="str">
        <f>TEXT(Table1[[#This Row],[Order_Date]],"mmm")</f>
        <v>Nov</v>
      </c>
    </row>
    <row r="138" spans="2:13">
      <c r="B138" s="1" t="s">
        <v>33</v>
      </c>
      <c r="C138" s="1" t="s">
        <v>56</v>
      </c>
      <c r="D138" s="1" t="s">
        <v>37</v>
      </c>
      <c r="E138" s="1" t="s">
        <v>57</v>
      </c>
      <c r="F138" s="1">
        <v>833.91</v>
      </c>
      <c r="G138" s="1">
        <v>3</v>
      </c>
      <c r="H138" s="1">
        <v>0.05</v>
      </c>
      <c r="I138" s="2">
        <v>45626</v>
      </c>
      <c r="J138" s="1">
        <v>356.5</v>
      </c>
      <c r="K138" s="4">
        <f>SUMIF(Table1[Customer_ID],Table1[[#This Row],[Customer_ID]],Table1[Sales])</f>
        <v>9941.8799999999992</v>
      </c>
      <c r="L138" s="18">
        <f t="shared" ca="1" si="4"/>
        <v>46111.750599537037</v>
      </c>
      <c r="M138" s="1" t="str">
        <f>TEXT(Table1[[#This Row],[Order_Date]],"mmm")</f>
        <v>Nov</v>
      </c>
    </row>
    <row r="139" spans="2:13">
      <c r="B139" s="1" t="s">
        <v>44</v>
      </c>
      <c r="C139" s="1" t="s">
        <v>85</v>
      </c>
      <c r="D139" s="1" t="s">
        <v>16</v>
      </c>
      <c r="E139" s="1" t="s">
        <v>40</v>
      </c>
      <c r="F139" s="1">
        <v>820.19</v>
      </c>
      <c r="G139" s="1">
        <v>4</v>
      </c>
      <c r="H139" s="1">
        <v>0.2</v>
      </c>
      <c r="I139" s="2">
        <v>45630</v>
      </c>
      <c r="J139" s="1">
        <v>229.65</v>
      </c>
      <c r="K139" s="4">
        <f>SUMIF(Table1[Customer_ID],Table1[[#This Row],[Customer_ID]],Table1[Sales])</f>
        <v>11611.060000000001</v>
      </c>
      <c r="L139" s="18">
        <f t="shared" ca="1" si="4"/>
        <v>46111.750599537037</v>
      </c>
      <c r="M139" s="1" t="str">
        <f>TEXT(Table1[[#This Row],[Order_Date]],"mmm")</f>
        <v>Dec</v>
      </c>
    </row>
    <row r="140" spans="2:13">
      <c r="B140" s="1" t="s">
        <v>44</v>
      </c>
      <c r="C140" s="1" t="s">
        <v>56</v>
      </c>
      <c r="D140" s="1" t="s">
        <v>51</v>
      </c>
      <c r="E140" s="1" t="s">
        <v>32</v>
      </c>
      <c r="F140" s="1">
        <v>511.74</v>
      </c>
      <c r="G140" s="1">
        <v>8</v>
      </c>
      <c r="H140" s="1">
        <v>0.05</v>
      </c>
      <c r="I140" s="2">
        <v>45631</v>
      </c>
      <c r="J140" s="1">
        <v>121.54</v>
      </c>
      <c r="K140" s="4">
        <f>SUMIF(Table1[Customer_ID],Table1[[#This Row],[Customer_ID]],Table1[Sales])</f>
        <v>11611.060000000001</v>
      </c>
      <c r="L140" s="18">
        <f t="shared" ca="1" si="4"/>
        <v>46111.750599537037</v>
      </c>
      <c r="M140" s="1" t="str">
        <f>TEXT(Table1[[#This Row],[Order_Date]],"mmm")</f>
        <v>Dec</v>
      </c>
    </row>
    <row r="141" spans="2:13">
      <c r="B141" s="1" t="s">
        <v>80</v>
      </c>
      <c r="C141" s="1" t="s">
        <v>76</v>
      </c>
      <c r="D141" s="1" t="s">
        <v>31</v>
      </c>
      <c r="E141" s="1" t="s">
        <v>40</v>
      </c>
      <c r="F141" s="1">
        <v>806.03</v>
      </c>
      <c r="G141" s="1">
        <v>19</v>
      </c>
      <c r="H141" s="1">
        <v>0.05</v>
      </c>
      <c r="I141" s="2">
        <v>45638</v>
      </c>
      <c r="J141" s="1">
        <v>268</v>
      </c>
      <c r="K141" s="4">
        <f>SUMIF(Table1[Customer_ID],Table1[[#This Row],[Customer_ID]],Table1[Sales])</f>
        <v>6481.43</v>
      </c>
      <c r="L141" s="18">
        <f t="shared" ca="1" si="4"/>
        <v>46111.750599537037</v>
      </c>
      <c r="M141" s="1" t="str">
        <f>TEXT(Table1[[#This Row],[Order_Date]],"mmm")</f>
        <v>Dec</v>
      </c>
    </row>
    <row r="142" spans="2:13">
      <c r="B142" s="1" t="s">
        <v>42</v>
      </c>
      <c r="C142" s="1" t="s">
        <v>39</v>
      </c>
      <c r="D142" s="1" t="s">
        <v>51</v>
      </c>
      <c r="E142" s="1" t="s">
        <v>40</v>
      </c>
      <c r="F142" s="1">
        <v>1432.47</v>
      </c>
      <c r="G142" s="1">
        <v>16</v>
      </c>
      <c r="H142" s="1">
        <v>0.15</v>
      </c>
      <c r="I142" s="2">
        <v>45640</v>
      </c>
      <c r="J142" s="1">
        <v>426.16</v>
      </c>
      <c r="K142" s="4">
        <f>SUMIF(Table1[Customer_ID],Table1[[#This Row],[Customer_ID]],Table1[Sales])</f>
        <v>6549.55</v>
      </c>
      <c r="L142" s="18">
        <f t="shared" ca="1" si="4"/>
        <v>46111.750599537037</v>
      </c>
      <c r="M142" s="1" t="str">
        <f>TEXT(Table1[[#This Row],[Order_Date]],"mmm")</f>
        <v>Dec</v>
      </c>
    </row>
    <row r="143" spans="2:13">
      <c r="B143" s="1" t="s">
        <v>87</v>
      </c>
      <c r="C143" s="1" t="s">
        <v>43</v>
      </c>
      <c r="D143" s="1" t="s">
        <v>51</v>
      </c>
      <c r="E143" s="1" t="s">
        <v>32</v>
      </c>
      <c r="F143" s="1">
        <v>1488.58</v>
      </c>
      <c r="G143" s="1">
        <v>10</v>
      </c>
      <c r="H143" s="1">
        <v>0.15</v>
      </c>
      <c r="I143" s="2">
        <v>45640</v>
      </c>
      <c r="J143" s="1">
        <v>316.32</v>
      </c>
      <c r="K143" s="4">
        <f>SUMIF(Table1[Customer_ID],Table1[[#This Row],[Customer_ID]],Table1[Sales])</f>
        <v>3906.04</v>
      </c>
      <c r="L143" s="18">
        <f t="shared" ca="1" si="4"/>
        <v>46111.750599537037</v>
      </c>
      <c r="M143" s="1" t="str">
        <f>TEXT(Table1[[#This Row],[Order_Date]],"mmm")</f>
        <v>Dec</v>
      </c>
    </row>
    <row r="144" spans="2:13">
      <c r="B144" s="1" t="s">
        <v>46</v>
      </c>
      <c r="C144" s="1" t="s">
        <v>81</v>
      </c>
      <c r="D144" s="1" t="s">
        <v>27</v>
      </c>
      <c r="E144" s="1" t="s">
        <v>17</v>
      </c>
      <c r="F144" s="1">
        <v>1231.26</v>
      </c>
      <c r="G144" s="1">
        <v>9</v>
      </c>
      <c r="H144" s="1">
        <v>0</v>
      </c>
      <c r="I144" s="2">
        <v>45646</v>
      </c>
      <c r="J144" s="1">
        <v>492.5</v>
      </c>
      <c r="K144" s="4">
        <f>SUMIF(Table1[Customer_ID],Table1[[#This Row],[Customer_ID]],Table1[Sales])</f>
        <v>9371.81</v>
      </c>
      <c r="L144" s="18">
        <f t="shared" ca="1" si="4"/>
        <v>46111.750599537037</v>
      </c>
      <c r="M144" s="1" t="str">
        <f>TEXT(Table1[[#This Row],[Order_Date]],"mmm")</f>
        <v>Dec</v>
      </c>
    </row>
    <row r="145" spans="2:13">
      <c r="B145" s="1" t="s">
        <v>46</v>
      </c>
      <c r="C145" s="1" t="s">
        <v>62</v>
      </c>
      <c r="D145" s="1" t="s">
        <v>16</v>
      </c>
      <c r="E145" s="1" t="s">
        <v>32</v>
      </c>
      <c r="F145" s="1">
        <v>1161.67</v>
      </c>
      <c r="G145" s="1">
        <v>19</v>
      </c>
      <c r="H145" s="1">
        <v>0.2</v>
      </c>
      <c r="I145" s="2">
        <v>45647</v>
      </c>
      <c r="J145" s="1">
        <v>232.33</v>
      </c>
      <c r="K145" s="4">
        <f>SUMIF(Table1[Customer_ID],Table1[[#This Row],[Customer_ID]],Table1[Sales])</f>
        <v>9371.81</v>
      </c>
      <c r="L145" s="18">
        <f t="shared" ca="1" si="4"/>
        <v>46111.750599537037</v>
      </c>
      <c r="M145" s="1" t="str">
        <f>TEXT(Table1[[#This Row],[Order_Date]],"mmm")</f>
        <v>Dec</v>
      </c>
    </row>
    <row r="146" spans="2:13">
      <c r="B146" s="1" t="s">
        <v>67</v>
      </c>
      <c r="C146" s="1" t="s">
        <v>63</v>
      </c>
      <c r="D146" s="1" t="s">
        <v>51</v>
      </c>
      <c r="E146" s="1" t="s">
        <v>57</v>
      </c>
      <c r="F146" s="1">
        <v>388.23</v>
      </c>
      <c r="G146" s="1">
        <v>16</v>
      </c>
      <c r="H146" s="1">
        <v>0.05</v>
      </c>
      <c r="I146" s="2">
        <v>45650</v>
      </c>
      <c r="J146" s="1">
        <v>165.97</v>
      </c>
      <c r="K146" s="4">
        <f>SUMIF(Table1[Customer_ID],Table1[[#This Row],[Customer_ID]],Table1[Sales])</f>
        <v>4418.2800000000007</v>
      </c>
      <c r="L146" s="18">
        <f t="shared" ca="1" si="4"/>
        <v>46111.750599537037</v>
      </c>
      <c r="M146" s="1" t="str">
        <f>TEXT(Table1[[#This Row],[Order_Date]],"mmm")</f>
        <v>Dec</v>
      </c>
    </row>
    <row r="147" spans="2:13">
      <c r="B147" s="1" t="s">
        <v>28</v>
      </c>
      <c r="C147" s="1" t="s">
        <v>47</v>
      </c>
      <c r="D147" s="1" t="s">
        <v>37</v>
      </c>
      <c r="E147" s="1" t="s">
        <v>22</v>
      </c>
      <c r="F147" s="1">
        <v>1589.42</v>
      </c>
      <c r="G147" s="1">
        <v>6</v>
      </c>
      <c r="H147" s="1">
        <v>0.15</v>
      </c>
      <c r="I147" s="2">
        <v>45651</v>
      </c>
      <c r="J147" s="1">
        <v>675.5</v>
      </c>
      <c r="K147" s="4">
        <f>SUMIF(Table1[Customer_ID],Table1[[#This Row],[Customer_ID]],Table1[Sales])</f>
        <v>7813.59</v>
      </c>
      <c r="L147" s="18">
        <f t="shared" ca="1" si="4"/>
        <v>46111.750599537037</v>
      </c>
      <c r="M147" s="1" t="str">
        <f>TEXT(Table1[[#This Row],[Order_Date]],"mmm")</f>
        <v>Dec</v>
      </c>
    </row>
    <row r="148" spans="2:13">
      <c r="B148" s="1" t="s">
        <v>42</v>
      </c>
      <c r="C148" s="1" t="s">
        <v>85</v>
      </c>
      <c r="D148" s="1" t="s">
        <v>37</v>
      </c>
      <c r="E148" s="1" t="s">
        <v>22</v>
      </c>
      <c r="F148" s="1">
        <v>336.66</v>
      </c>
      <c r="G148" s="1">
        <v>13</v>
      </c>
      <c r="H148" s="1">
        <v>0.2</v>
      </c>
      <c r="I148" s="2">
        <v>45651</v>
      </c>
      <c r="J148" s="1">
        <v>134.66</v>
      </c>
      <c r="K148" s="4">
        <f>SUMIF(Table1[Customer_ID],Table1[[#This Row],[Customer_ID]],Table1[Sales])</f>
        <v>6549.55</v>
      </c>
      <c r="L148" s="18">
        <f t="shared" ca="1" si="4"/>
        <v>46111.750599537037</v>
      </c>
      <c r="M148" s="1" t="str">
        <f>TEXT(Table1[[#This Row],[Order_Date]],"mmm")</f>
        <v>Dec</v>
      </c>
    </row>
    <row r="149" spans="2:13">
      <c r="B149" s="1" t="s">
        <v>67</v>
      </c>
      <c r="C149" s="1" t="s">
        <v>36</v>
      </c>
      <c r="D149" s="1" t="s">
        <v>16</v>
      </c>
      <c r="E149" s="1" t="s">
        <v>17</v>
      </c>
      <c r="F149" s="1">
        <v>1353.79</v>
      </c>
      <c r="G149" s="1">
        <v>14</v>
      </c>
      <c r="H149" s="1">
        <v>0.1</v>
      </c>
      <c r="I149" s="2">
        <v>45656</v>
      </c>
      <c r="J149" s="1">
        <v>487.36</v>
      </c>
      <c r="K149" s="4">
        <f>SUMIF(Table1[Customer_ID],Table1[[#This Row],[Customer_ID]],Table1[Sales])</f>
        <v>4418.2800000000007</v>
      </c>
      <c r="L149" s="18">
        <f t="shared" ca="1" si="4"/>
        <v>46111.750599537037</v>
      </c>
      <c r="M149" s="1" t="str">
        <f>TEXT(Table1[[#This Row],[Order_Date]],"mmm")</f>
        <v>Dec</v>
      </c>
    </row>
    <row r="150" spans="2:13">
      <c r="B150" s="1" t="s">
        <v>78</v>
      </c>
      <c r="C150" s="1" t="s">
        <v>83</v>
      </c>
      <c r="D150" s="1" t="s">
        <v>51</v>
      </c>
      <c r="E150" s="1" t="s">
        <v>22</v>
      </c>
      <c r="F150" s="1">
        <v>662.61</v>
      </c>
      <c r="G150" s="1">
        <v>11</v>
      </c>
      <c r="H150" s="1">
        <v>0.05</v>
      </c>
      <c r="I150" s="2">
        <v>45658</v>
      </c>
      <c r="J150" s="1">
        <v>314.74</v>
      </c>
      <c r="K150" s="4">
        <f>SUMIF(Table1[Customer_ID],Table1[[#This Row],[Customer_ID]],Table1[Sales])</f>
        <v>3762.2900000000004</v>
      </c>
      <c r="L150" s="18">
        <f t="shared" ca="1" si="4"/>
        <v>46111.750599537037</v>
      </c>
      <c r="M150" s="1" t="str">
        <f>TEXT(Table1[[#This Row],[Order_Date]],"mmm")</f>
        <v>Jan</v>
      </c>
    </row>
    <row r="151" spans="2:13">
      <c r="B151" s="1" t="s">
        <v>54</v>
      </c>
      <c r="C151" s="1" t="s">
        <v>66</v>
      </c>
      <c r="D151" s="1" t="s">
        <v>37</v>
      </c>
      <c r="E151" s="1" t="s">
        <v>57</v>
      </c>
      <c r="F151" s="1">
        <v>309.42</v>
      </c>
      <c r="G151" s="1">
        <v>1</v>
      </c>
      <c r="H151" s="1">
        <v>0.2</v>
      </c>
      <c r="I151" s="2">
        <v>45658</v>
      </c>
      <c r="J151" s="1">
        <v>111.39</v>
      </c>
      <c r="K151" s="4">
        <f>SUMIF(Table1[Customer_ID],Table1[[#This Row],[Customer_ID]],Table1[Sales])</f>
        <v>10293.870000000001</v>
      </c>
      <c r="L151" s="18">
        <f t="shared" ca="1" si="4"/>
        <v>46111.750599537037</v>
      </c>
      <c r="M151" s="1" t="str">
        <f>TEXT(Table1[[#This Row],[Order_Date]],"mmm")</f>
        <v>Jan</v>
      </c>
    </row>
    <row r="152" spans="2:13">
      <c r="B152" s="1" t="s">
        <v>78</v>
      </c>
      <c r="C152" s="1" t="s">
        <v>43</v>
      </c>
      <c r="D152" s="1" t="s">
        <v>37</v>
      </c>
      <c r="E152" s="1" t="s">
        <v>17</v>
      </c>
      <c r="F152" s="1">
        <v>884.63</v>
      </c>
      <c r="G152" s="1">
        <v>18</v>
      </c>
      <c r="H152" s="1">
        <v>0.1</v>
      </c>
      <c r="I152" s="2">
        <v>45659</v>
      </c>
      <c r="J152" s="1">
        <v>318.47000000000003</v>
      </c>
      <c r="K152" s="4">
        <f>SUMIF(Table1[Customer_ID],Table1[[#This Row],[Customer_ID]],Table1[Sales])</f>
        <v>3762.2900000000004</v>
      </c>
      <c r="L152" s="18">
        <f t="shared" ca="1" si="4"/>
        <v>46111.750599537037</v>
      </c>
      <c r="M152" s="1" t="str">
        <f>TEXT(Table1[[#This Row],[Order_Date]],"mmm")</f>
        <v>Jan</v>
      </c>
    </row>
    <row r="153" spans="2:13">
      <c r="B153" s="1" t="s">
        <v>54</v>
      </c>
      <c r="C153" s="1" t="s">
        <v>36</v>
      </c>
      <c r="D153" s="1" t="s">
        <v>51</v>
      </c>
      <c r="E153" s="1" t="s">
        <v>57</v>
      </c>
      <c r="F153" s="1">
        <v>745.05</v>
      </c>
      <c r="G153" s="1">
        <v>10</v>
      </c>
      <c r="H153" s="1">
        <v>0.1</v>
      </c>
      <c r="I153" s="2">
        <v>45660</v>
      </c>
      <c r="J153" s="1">
        <v>301.75</v>
      </c>
      <c r="K153" s="4">
        <f>SUMIF(Table1[Customer_ID],Table1[[#This Row],[Customer_ID]],Table1[Sales])</f>
        <v>10293.870000000001</v>
      </c>
      <c r="L153" s="18">
        <f t="shared" ca="1" si="4"/>
        <v>46111.750599537037</v>
      </c>
      <c r="M153" s="1" t="str">
        <f>TEXT(Table1[[#This Row],[Order_Date]],"mmm")</f>
        <v>Jan</v>
      </c>
    </row>
    <row r="154" spans="2:13">
      <c r="B154" s="1" t="s">
        <v>75</v>
      </c>
      <c r="C154" s="1" t="s">
        <v>26</v>
      </c>
      <c r="D154" s="1" t="s">
        <v>31</v>
      </c>
      <c r="E154" s="1" t="s">
        <v>22</v>
      </c>
      <c r="F154" s="1">
        <v>870.23</v>
      </c>
      <c r="G154" s="1">
        <v>5</v>
      </c>
      <c r="H154" s="1">
        <v>0.05</v>
      </c>
      <c r="I154" s="2">
        <v>45660</v>
      </c>
      <c r="J154" s="1">
        <v>413.36</v>
      </c>
      <c r="K154" s="4">
        <f>SUMIF(Table1[Customer_ID],Table1[[#This Row],[Customer_ID]],Table1[Sales])</f>
        <v>3369.17</v>
      </c>
      <c r="L154" s="18">
        <f t="shared" ca="1" si="4"/>
        <v>46111.750599537037</v>
      </c>
      <c r="M154" s="1" t="str">
        <f>TEXT(Table1[[#This Row],[Order_Date]],"mmm")</f>
        <v>Jan</v>
      </c>
    </row>
    <row r="155" spans="2:13">
      <c r="B155" s="1" t="s">
        <v>52</v>
      </c>
      <c r="C155" s="1" t="s">
        <v>43</v>
      </c>
      <c r="D155" s="1" t="s">
        <v>16</v>
      </c>
      <c r="E155" s="1" t="s">
        <v>40</v>
      </c>
      <c r="F155" s="1">
        <v>862.19</v>
      </c>
      <c r="G155" s="1">
        <v>18</v>
      </c>
      <c r="H155" s="1">
        <v>0.05</v>
      </c>
      <c r="I155" s="2">
        <v>45663</v>
      </c>
      <c r="J155" s="1">
        <v>286.68</v>
      </c>
      <c r="K155" s="4">
        <f>SUMIF(Table1[Customer_ID],Table1[[#This Row],[Customer_ID]],Table1[Sales])</f>
        <v>4259.22</v>
      </c>
      <c r="L155" s="18">
        <f t="shared" ca="1" si="4"/>
        <v>46111.750599537037</v>
      </c>
      <c r="M155" s="1" t="str">
        <f>TEXT(Table1[[#This Row],[Order_Date]],"mmm")</f>
        <v>Jan</v>
      </c>
    </row>
    <row r="156" spans="2:13">
      <c r="B156" s="1" t="s">
        <v>86</v>
      </c>
      <c r="C156" s="1" t="s">
        <v>74</v>
      </c>
      <c r="D156" s="1" t="s">
        <v>37</v>
      </c>
      <c r="E156" s="1" t="s">
        <v>22</v>
      </c>
      <c r="F156" s="1">
        <v>1171.18</v>
      </c>
      <c r="G156" s="1">
        <v>19</v>
      </c>
      <c r="H156" s="1">
        <v>0.05</v>
      </c>
      <c r="I156" s="2">
        <v>45667</v>
      </c>
      <c r="J156" s="1">
        <v>556.30999999999995</v>
      </c>
      <c r="K156" s="4">
        <f>SUMIF(Table1[Customer_ID],Table1[[#This Row],[Customer_ID]],Table1[Sales])</f>
        <v>4162.4400000000005</v>
      </c>
      <c r="L156" s="18">
        <f t="shared" ca="1" si="4"/>
        <v>46111.750599537037</v>
      </c>
      <c r="M156" s="1" t="str">
        <f>TEXT(Table1[[#This Row],[Order_Date]],"mmm")</f>
        <v>Jan</v>
      </c>
    </row>
    <row r="157" spans="2:13">
      <c r="B157" s="1" t="s">
        <v>44</v>
      </c>
      <c r="C157" s="1" t="s">
        <v>21</v>
      </c>
      <c r="D157" s="1" t="s">
        <v>31</v>
      </c>
      <c r="E157" s="1" t="s">
        <v>40</v>
      </c>
      <c r="F157" s="1">
        <v>1054.56</v>
      </c>
      <c r="G157" s="1">
        <v>11</v>
      </c>
      <c r="H157" s="1">
        <v>0.1</v>
      </c>
      <c r="I157" s="2">
        <v>45669</v>
      </c>
      <c r="J157" s="1">
        <v>332.19</v>
      </c>
      <c r="K157" s="4">
        <f>SUMIF(Table1[Customer_ID],Table1[[#This Row],[Customer_ID]],Table1[Sales])</f>
        <v>11611.060000000001</v>
      </c>
      <c r="L157" s="18">
        <f t="shared" ca="1" si="4"/>
        <v>46111.750599537037</v>
      </c>
      <c r="M157" s="1" t="str">
        <f>TEXT(Table1[[#This Row],[Order_Date]],"mmm")</f>
        <v>Jan</v>
      </c>
    </row>
    <row r="158" spans="2:13">
      <c r="B158" s="1" t="s">
        <v>44</v>
      </c>
      <c r="C158" s="1" t="s">
        <v>36</v>
      </c>
      <c r="D158" s="1" t="s">
        <v>37</v>
      </c>
      <c r="E158" s="1" t="s">
        <v>32</v>
      </c>
      <c r="F158" s="1">
        <v>1681.21</v>
      </c>
      <c r="G158" s="1">
        <v>5</v>
      </c>
      <c r="H158" s="1">
        <v>0.2</v>
      </c>
      <c r="I158" s="2">
        <v>45670</v>
      </c>
      <c r="J158" s="1">
        <v>336.24</v>
      </c>
      <c r="K158" s="4">
        <f>SUMIF(Table1[Customer_ID],Table1[[#This Row],[Customer_ID]],Table1[Sales])</f>
        <v>11611.060000000001</v>
      </c>
      <c r="L158" s="18">
        <f t="shared" ca="1" si="4"/>
        <v>46111.750599537037</v>
      </c>
      <c r="M158" s="1" t="str">
        <f>TEXT(Table1[[#This Row],[Order_Date]],"mmm")</f>
        <v>Jan</v>
      </c>
    </row>
    <row r="159" spans="2:13">
      <c r="B159" s="1" t="s">
        <v>44</v>
      </c>
      <c r="C159" s="1" t="s">
        <v>53</v>
      </c>
      <c r="D159" s="1" t="s">
        <v>16</v>
      </c>
      <c r="E159" s="1" t="s">
        <v>22</v>
      </c>
      <c r="F159" s="1">
        <v>379.77</v>
      </c>
      <c r="G159" s="1">
        <v>9</v>
      </c>
      <c r="H159" s="1">
        <v>0.05</v>
      </c>
      <c r="I159" s="2">
        <v>45673</v>
      </c>
      <c r="J159" s="1">
        <v>180.39</v>
      </c>
      <c r="K159" s="4">
        <f>SUMIF(Table1[Customer_ID],Table1[[#This Row],[Customer_ID]],Table1[Sales])</f>
        <v>11611.060000000001</v>
      </c>
      <c r="L159" s="18">
        <f t="shared" ca="1" si="4"/>
        <v>46111.750599537037</v>
      </c>
      <c r="M159" s="1" t="str">
        <f>TEXT(Table1[[#This Row],[Order_Date]],"mmm")</f>
        <v>Jan</v>
      </c>
    </row>
    <row r="160" spans="2:13">
      <c r="B160" s="1" t="s">
        <v>38</v>
      </c>
      <c r="C160" s="1" t="s">
        <v>63</v>
      </c>
      <c r="D160" s="1" t="s">
        <v>51</v>
      </c>
      <c r="E160" s="1" t="s">
        <v>22</v>
      </c>
      <c r="F160" s="1">
        <v>1076.33</v>
      </c>
      <c r="G160" s="1">
        <v>2</v>
      </c>
      <c r="H160" s="1">
        <v>0.1</v>
      </c>
      <c r="I160" s="2">
        <v>45674</v>
      </c>
      <c r="J160" s="1">
        <v>484.35</v>
      </c>
      <c r="K160" s="4">
        <f>SUMIF(Table1[Customer_ID],Table1[[#This Row],[Customer_ID]],Table1[Sales])</f>
        <v>9760.7999999999993</v>
      </c>
      <c r="L160" s="18">
        <f t="shared" ca="1" si="4"/>
        <v>46111.750599537037</v>
      </c>
      <c r="M160" s="1" t="str">
        <f>TEXT(Table1[[#This Row],[Order_Date]],"mmm")</f>
        <v>Jan</v>
      </c>
    </row>
    <row r="161" spans="2:13">
      <c r="B161" s="1" t="s">
        <v>38</v>
      </c>
      <c r="C161" s="1" t="s">
        <v>47</v>
      </c>
      <c r="D161" s="1" t="s">
        <v>51</v>
      </c>
      <c r="E161" s="1" t="s">
        <v>57</v>
      </c>
      <c r="F161" s="1">
        <v>1250.71</v>
      </c>
      <c r="G161" s="1">
        <v>7</v>
      </c>
      <c r="H161" s="1">
        <v>0</v>
      </c>
      <c r="I161" s="2">
        <v>45674</v>
      </c>
      <c r="J161" s="1">
        <v>562.82000000000005</v>
      </c>
      <c r="K161" s="4">
        <f>SUMIF(Table1[Customer_ID],Table1[[#This Row],[Customer_ID]],Table1[Sales])</f>
        <v>9760.7999999999993</v>
      </c>
      <c r="L161" s="18">
        <f t="shared" ca="1" si="4"/>
        <v>46111.750599537037</v>
      </c>
      <c r="M161" s="1" t="str">
        <f>TEXT(Table1[[#This Row],[Order_Date]],"mmm")</f>
        <v>Jan</v>
      </c>
    </row>
    <row r="162" spans="2:13">
      <c r="B162" s="1" t="s">
        <v>59</v>
      </c>
      <c r="C162" s="1" t="s">
        <v>26</v>
      </c>
      <c r="D162" s="1" t="s">
        <v>31</v>
      </c>
      <c r="E162" s="1" t="s">
        <v>22</v>
      </c>
      <c r="F162" s="1">
        <v>1118.3399999999999</v>
      </c>
      <c r="G162" s="1">
        <v>6</v>
      </c>
      <c r="H162" s="1">
        <v>0.2</v>
      </c>
      <c r="I162" s="2">
        <v>45674</v>
      </c>
      <c r="J162" s="1">
        <v>447.34</v>
      </c>
      <c r="K162" s="4">
        <f>SUMIF(Table1[Customer_ID],Table1[[#This Row],[Customer_ID]],Table1[Sales])</f>
        <v>5913.68</v>
      </c>
      <c r="L162" s="18">
        <f t="shared" ca="1" si="4"/>
        <v>46111.750599537037</v>
      </c>
      <c r="M162" s="1" t="str">
        <f>TEXT(Table1[[#This Row],[Order_Date]],"mmm")</f>
        <v>Jan</v>
      </c>
    </row>
    <row r="163" spans="2:13">
      <c r="B163" s="1" t="s">
        <v>84</v>
      </c>
      <c r="C163" s="1" t="s">
        <v>70</v>
      </c>
      <c r="D163" s="1" t="s">
        <v>37</v>
      </c>
      <c r="E163" s="1" t="s">
        <v>22</v>
      </c>
      <c r="F163" s="1">
        <v>1622.62</v>
      </c>
      <c r="G163" s="1">
        <v>12</v>
      </c>
      <c r="H163" s="1">
        <v>0.2</v>
      </c>
      <c r="I163" s="2">
        <v>45677</v>
      </c>
      <c r="J163" s="1">
        <v>649.04999999999995</v>
      </c>
      <c r="K163" s="4">
        <f>SUMIF(Table1[Customer_ID],Table1[[#This Row],[Customer_ID]],Table1[Sales])</f>
        <v>7583.1299999999992</v>
      </c>
      <c r="L163" s="18">
        <f t="shared" ref="L163:L194" ca="1" si="5">NOW()</f>
        <v>46111.750599537037</v>
      </c>
      <c r="M163" s="1" t="str">
        <f>TEXT(Table1[[#This Row],[Order_Date]],"mmm")</f>
        <v>Jan</v>
      </c>
    </row>
    <row r="164" spans="2:13">
      <c r="B164" s="1" t="s">
        <v>88</v>
      </c>
      <c r="C164" s="1" t="s">
        <v>66</v>
      </c>
      <c r="D164" s="1" t="s">
        <v>37</v>
      </c>
      <c r="E164" s="1" t="s">
        <v>17</v>
      </c>
      <c r="F164" s="1">
        <v>640.64</v>
      </c>
      <c r="G164" s="1">
        <v>11</v>
      </c>
      <c r="H164" s="1">
        <v>0.2</v>
      </c>
      <c r="I164" s="2">
        <v>45678</v>
      </c>
      <c r="J164" s="1">
        <v>205</v>
      </c>
      <c r="K164" s="4">
        <f>SUMIF(Table1[Customer_ID],Table1[[#This Row],[Customer_ID]],Table1[Sales])</f>
        <v>4951.8899999999994</v>
      </c>
      <c r="L164" s="18">
        <f t="shared" ca="1" si="5"/>
        <v>46111.750599537037</v>
      </c>
      <c r="M164" s="1" t="str">
        <f>TEXT(Table1[[#This Row],[Order_Date]],"mmm")</f>
        <v>Jan</v>
      </c>
    </row>
    <row r="165" spans="2:13">
      <c r="B165" s="1" t="s">
        <v>35</v>
      </c>
      <c r="C165" s="1" t="s">
        <v>62</v>
      </c>
      <c r="D165" s="1" t="s">
        <v>16</v>
      </c>
      <c r="E165" s="1" t="s">
        <v>22</v>
      </c>
      <c r="F165" s="1">
        <v>585.16</v>
      </c>
      <c r="G165" s="1">
        <v>17</v>
      </c>
      <c r="H165" s="1">
        <v>0.1</v>
      </c>
      <c r="I165" s="2">
        <v>45684</v>
      </c>
      <c r="J165" s="1">
        <v>263.32</v>
      </c>
      <c r="K165" s="4">
        <f>SUMIF(Table1[Customer_ID],Table1[[#This Row],[Customer_ID]],Table1[Sales])</f>
        <v>7928.71</v>
      </c>
      <c r="L165" s="18">
        <f t="shared" ca="1" si="5"/>
        <v>46111.750599537037</v>
      </c>
      <c r="M165" s="1" t="str">
        <f>TEXT(Table1[[#This Row],[Order_Date]],"mmm")</f>
        <v>Jan</v>
      </c>
    </row>
    <row r="166" spans="2:13">
      <c r="B166" s="1" t="s">
        <v>35</v>
      </c>
      <c r="C166" s="1" t="s">
        <v>47</v>
      </c>
      <c r="D166" s="1" t="s">
        <v>27</v>
      </c>
      <c r="E166" s="1" t="s">
        <v>22</v>
      </c>
      <c r="F166" s="1">
        <v>1109.98</v>
      </c>
      <c r="G166" s="1">
        <v>5</v>
      </c>
      <c r="H166" s="1">
        <v>0.2</v>
      </c>
      <c r="I166" s="2">
        <v>45690</v>
      </c>
      <c r="J166" s="1">
        <v>443.99</v>
      </c>
      <c r="K166" s="4">
        <f>SUMIF(Table1[Customer_ID],Table1[[#This Row],[Customer_ID]],Table1[Sales])</f>
        <v>7928.71</v>
      </c>
      <c r="L166" s="18">
        <f t="shared" ca="1" si="5"/>
        <v>46111.750599537037</v>
      </c>
      <c r="M166" s="1" t="str">
        <f>TEXT(Table1[[#This Row],[Order_Date]],"mmm")</f>
        <v>Feb</v>
      </c>
    </row>
    <row r="167" spans="2:13">
      <c r="B167" s="1" t="s">
        <v>44</v>
      </c>
      <c r="C167" s="1" t="s">
        <v>63</v>
      </c>
      <c r="D167" s="1" t="s">
        <v>27</v>
      </c>
      <c r="E167" s="1" t="s">
        <v>17</v>
      </c>
      <c r="F167" s="1">
        <v>1098.08</v>
      </c>
      <c r="G167" s="1">
        <v>9</v>
      </c>
      <c r="H167" s="1">
        <v>0.1</v>
      </c>
      <c r="I167" s="2">
        <v>45692</v>
      </c>
      <c r="J167" s="1">
        <v>395.31</v>
      </c>
      <c r="K167" s="4">
        <f>SUMIF(Table1[Customer_ID],Table1[[#This Row],[Customer_ID]],Table1[Sales])</f>
        <v>11611.060000000001</v>
      </c>
      <c r="L167" s="18">
        <f t="shared" ca="1" si="5"/>
        <v>46111.750599537037</v>
      </c>
      <c r="M167" s="1" t="str">
        <f>TEXT(Table1[[#This Row],[Order_Date]],"mmm")</f>
        <v>Feb</v>
      </c>
    </row>
    <row r="168" spans="2:13">
      <c r="B168" s="1" t="s">
        <v>80</v>
      </c>
      <c r="C168" s="1" t="s">
        <v>66</v>
      </c>
      <c r="D168" s="1" t="s">
        <v>16</v>
      </c>
      <c r="E168" s="1" t="s">
        <v>57</v>
      </c>
      <c r="F168" s="1">
        <v>827.25</v>
      </c>
      <c r="G168" s="1">
        <v>7</v>
      </c>
      <c r="H168" s="1">
        <v>0.1</v>
      </c>
      <c r="I168" s="2">
        <v>45693</v>
      </c>
      <c r="J168" s="1">
        <v>335.04</v>
      </c>
      <c r="K168" s="4">
        <f>SUMIF(Table1[Customer_ID],Table1[[#This Row],[Customer_ID]],Table1[Sales])</f>
        <v>6481.43</v>
      </c>
      <c r="L168" s="18">
        <f t="shared" ca="1" si="5"/>
        <v>46111.750599537037</v>
      </c>
      <c r="M168" s="1" t="str">
        <f>TEXT(Table1[[#This Row],[Order_Date]],"mmm")</f>
        <v>Feb</v>
      </c>
    </row>
    <row r="169" spans="2:13">
      <c r="B169" s="1" t="s">
        <v>84</v>
      </c>
      <c r="C169" s="1" t="s">
        <v>43</v>
      </c>
      <c r="D169" s="1" t="s">
        <v>51</v>
      </c>
      <c r="E169" s="1" t="s">
        <v>22</v>
      </c>
      <c r="F169" s="1">
        <v>741.88</v>
      </c>
      <c r="G169" s="1">
        <v>16</v>
      </c>
      <c r="H169" s="1">
        <v>0.1</v>
      </c>
      <c r="I169" s="2">
        <v>45695</v>
      </c>
      <c r="J169" s="1">
        <v>333.85</v>
      </c>
      <c r="K169" s="4">
        <f>SUMIF(Table1[Customer_ID],Table1[[#This Row],[Customer_ID]],Table1[Sales])</f>
        <v>7583.1299999999992</v>
      </c>
      <c r="L169" s="18">
        <f t="shared" ca="1" si="5"/>
        <v>46111.750599537037</v>
      </c>
      <c r="M169" s="1" t="str">
        <f>TEXT(Table1[[#This Row],[Order_Date]],"mmm")</f>
        <v>Feb</v>
      </c>
    </row>
    <row r="170" spans="2:13">
      <c r="B170" s="1" t="s">
        <v>28</v>
      </c>
      <c r="C170" s="1" t="s">
        <v>15</v>
      </c>
      <c r="D170" s="1" t="s">
        <v>27</v>
      </c>
      <c r="E170" s="1" t="s">
        <v>57</v>
      </c>
      <c r="F170" s="1">
        <v>1311.26</v>
      </c>
      <c r="G170" s="1">
        <v>6</v>
      </c>
      <c r="H170" s="1">
        <v>0.1</v>
      </c>
      <c r="I170" s="2">
        <v>45698</v>
      </c>
      <c r="J170" s="1">
        <v>531.05999999999995</v>
      </c>
      <c r="K170" s="4">
        <f>SUMIF(Table1[Customer_ID],Table1[[#This Row],[Customer_ID]],Table1[Sales])</f>
        <v>7813.59</v>
      </c>
      <c r="L170" s="18">
        <f t="shared" ca="1" si="5"/>
        <v>46111.750599537037</v>
      </c>
      <c r="M170" s="1" t="str">
        <f>TEXT(Table1[[#This Row],[Order_Date]],"mmm")</f>
        <v>Feb</v>
      </c>
    </row>
    <row r="171" spans="2:13">
      <c r="B171" s="1" t="s">
        <v>28</v>
      </c>
      <c r="C171" s="1" t="s">
        <v>47</v>
      </c>
      <c r="D171" s="1" t="s">
        <v>31</v>
      </c>
      <c r="E171" s="1" t="s">
        <v>57</v>
      </c>
      <c r="F171" s="1">
        <v>573.32000000000005</v>
      </c>
      <c r="G171" s="1">
        <v>19</v>
      </c>
      <c r="H171" s="1">
        <v>0.1</v>
      </c>
      <c r="I171" s="2">
        <v>45703</v>
      </c>
      <c r="J171" s="1">
        <v>232.19</v>
      </c>
      <c r="K171" s="4">
        <f>SUMIF(Table1[Customer_ID],Table1[[#This Row],[Customer_ID]],Table1[Sales])</f>
        <v>7813.59</v>
      </c>
      <c r="L171" s="18">
        <f t="shared" ca="1" si="5"/>
        <v>46111.750599537037</v>
      </c>
      <c r="M171" s="1" t="str">
        <f>TEXT(Table1[[#This Row],[Order_Date]],"mmm")</f>
        <v>Feb</v>
      </c>
    </row>
    <row r="172" spans="2:13">
      <c r="B172" s="1" t="s">
        <v>54</v>
      </c>
      <c r="C172" s="1" t="s">
        <v>36</v>
      </c>
      <c r="D172" s="1" t="s">
        <v>16</v>
      </c>
      <c r="E172" s="1" t="s">
        <v>32</v>
      </c>
      <c r="F172" s="1">
        <v>1115.22</v>
      </c>
      <c r="G172" s="1">
        <v>14</v>
      </c>
      <c r="H172" s="1">
        <v>0.2</v>
      </c>
      <c r="I172" s="2">
        <v>45705</v>
      </c>
      <c r="J172" s="1">
        <v>223.04</v>
      </c>
      <c r="K172" s="4">
        <f>SUMIF(Table1[Customer_ID],Table1[[#This Row],[Customer_ID]],Table1[Sales])</f>
        <v>10293.870000000001</v>
      </c>
      <c r="L172" s="18">
        <f t="shared" ca="1" si="5"/>
        <v>46111.750599537037</v>
      </c>
      <c r="M172" s="1" t="str">
        <f>TEXT(Table1[[#This Row],[Order_Date]],"mmm")</f>
        <v>Feb</v>
      </c>
    </row>
    <row r="173" spans="2:13">
      <c r="B173" s="1" t="s">
        <v>20</v>
      </c>
      <c r="C173" s="1" t="s">
        <v>63</v>
      </c>
      <c r="D173" s="1" t="s">
        <v>37</v>
      </c>
      <c r="E173" s="1" t="s">
        <v>22</v>
      </c>
      <c r="F173" s="1">
        <v>845.84</v>
      </c>
      <c r="G173" s="1">
        <v>4</v>
      </c>
      <c r="H173" s="1">
        <v>0</v>
      </c>
      <c r="I173" s="2">
        <v>45707</v>
      </c>
      <c r="J173" s="1">
        <v>422.92</v>
      </c>
      <c r="K173" s="4">
        <f>SUMIF(Table1[Customer_ID],Table1[[#This Row],[Customer_ID]],Table1[Sales])</f>
        <v>8339</v>
      </c>
      <c r="L173" s="18">
        <f t="shared" ca="1" si="5"/>
        <v>46111.750599537037</v>
      </c>
      <c r="M173" s="1" t="str">
        <f>TEXT(Table1[[#This Row],[Order_Date]],"mmm")</f>
        <v>Feb</v>
      </c>
    </row>
    <row r="174" spans="2:13">
      <c r="B174" s="1" t="s">
        <v>46</v>
      </c>
      <c r="C174" s="1" t="s">
        <v>72</v>
      </c>
      <c r="D174" s="1" t="s">
        <v>16</v>
      </c>
      <c r="E174" s="1" t="s">
        <v>32</v>
      </c>
      <c r="F174" s="1">
        <v>1029.8</v>
      </c>
      <c r="G174" s="1">
        <v>3</v>
      </c>
      <c r="H174" s="1">
        <v>0</v>
      </c>
      <c r="I174" s="2">
        <v>45708</v>
      </c>
      <c r="J174" s="1">
        <v>257.45</v>
      </c>
      <c r="K174" s="4">
        <f>SUMIF(Table1[Customer_ID],Table1[[#This Row],[Customer_ID]],Table1[Sales])</f>
        <v>9371.81</v>
      </c>
      <c r="L174" s="18">
        <f t="shared" ca="1" si="5"/>
        <v>46111.750599537037</v>
      </c>
      <c r="M174" s="1" t="str">
        <f>TEXT(Table1[[#This Row],[Order_Date]],"mmm")</f>
        <v>Feb</v>
      </c>
    </row>
    <row r="175" spans="2:13">
      <c r="B175" s="1" t="s">
        <v>49</v>
      </c>
      <c r="C175" s="1" t="s">
        <v>47</v>
      </c>
      <c r="D175" s="1" t="s">
        <v>37</v>
      </c>
      <c r="E175" s="1" t="s">
        <v>17</v>
      </c>
      <c r="F175" s="1">
        <v>1189.83</v>
      </c>
      <c r="G175" s="1">
        <v>2</v>
      </c>
      <c r="H175" s="1">
        <v>0.2</v>
      </c>
      <c r="I175" s="2">
        <v>45709</v>
      </c>
      <c r="J175" s="1">
        <v>380.75</v>
      </c>
      <c r="K175" s="4">
        <f>SUMIF(Table1[Customer_ID],Table1[[#This Row],[Customer_ID]],Table1[Sales])</f>
        <v>6505.2</v>
      </c>
      <c r="L175" s="18">
        <f t="shared" ca="1" si="5"/>
        <v>46111.750599537037</v>
      </c>
      <c r="M175" s="1" t="str">
        <f>TEXT(Table1[[#This Row],[Order_Date]],"mmm")</f>
        <v>Feb</v>
      </c>
    </row>
    <row r="176" spans="2:13">
      <c r="B176" s="1" t="s">
        <v>23</v>
      </c>
      <c r="C176" s="1" t="s">
        <v>62</v>
      </c>
      <c r="D176" s="1" t="s">
        <v>31</v>
      </c>
      <c r="E176" s="1" t="s">
        <v>17</v>
      </c>
      <c r="F176" s="1">
        <v>704.28</v>
      </c>
      <c r="G176" s="1">
        <v>15</v>
      </c>
      <c r="H176" s="1">
        <v>0.2</v>
      </c>
      <c r="I176" s="2">
        <v>45712</v>
      </c>
      <c r="J176" s="1">
        <v>225.37</v>
      </c>
      <c r="K176" s="4">
        <f>SUMIF(Table1[Customer_ID],Table1[[#This Row],[Customer_ID]],Table1[Sales])</f>
        <v>8490.18</v>
      </c>
      <c r="L176" s="18">
        <f t="shared" ca="1" si="5"/>
        <v>46111.750599537037</v>
      </c>
      <c r="M176" s="1" t="str">
        <f>TEXT(Table1[[#This Row],[Order_Date]],"mmm")</f>
        <v>Feb</v>
      </c>
    </row>
    <row r="177" spans="2:13">
      <c r="B177" s="1" t="s">
        <v>80</v>
      </c>
      <c r="C177" s="1" t="s">
        <v>65</v>
      </c>
      <c r="D177" s="1" t="s">
        <v>51</v>
      </c>
      <c r="E177" s="1" t="s">
        <v>57</v>
      </c>
      <c r="F177" s="1">
        <v>1618.22</v>
      </c>
      <c r="G177" s="1">
        <v>12</v>
      </c>
      <c r="H177" s="1">
        <v>0.2</v>
      </c>
      <c r="I177" s="2">
        <v>45712</v>
      </c>
      <c r="J177" s="1">
        <v>582.55999999999995</v>
      </c>
      <c r="K177" s="4">
        <f>SUMIF(Table1[Customer_ID],Table1[[#This Row],[Customer_ID]],Table1[Sales])</f>
        <v>6481.43</v>
      </c>
      <c r="L177" s="18">
        <f t="shared" ca="1" si="5"/>
        <v>46111.750599537037</v>
      </c>
      <c r="M177" s="1" t="str">
        <f>TEXT(Table1[[#This Row],[Order_Date]],"mmm")</f>
        <v>Feb</v>
      </c>
    </row>
    <row r="178" spans="2:13">
      <c r="B178" s="1" t="s">
        <v>86</v>
      </c>
      <c r="C178" s="1" t="s">
        <v>70</v>
      </c>
      <c r="D178" s="1" t="s">
        <v>51</v>
      </c>
      <c r="E178" s="1" t="s">
        <v>17</v>
      </c>
      <c r="F178" s="1">
        <v>1014.43</v>
      </c>
      <c r="G178" s="1">
        <v>2</v>
      </c>
      <c r="H178" s="1">
        <v>0.15</v>
      </c>
      <c r="I178" s="2">
        <v>45713</v>
      </c>
      <c r="J178" s="1">
        <v>344.91</v>
      </c>
      <c r="K178" s="4">
        <f>SUMIF(Table1[Customer_ID],Table1[[#This Row],[Customer_ID]],Table1[Sales])</f>
        <v>4162.4400000000005</v>
      </c>
      <c r="L178" s="18">
        <f t="shared" ca="1" si="5"/>
        <v>46111.750599537037</v>
      </c>
      <c r="M178" s="1" t="str">
        <f>TEXT(Table1[[#This Row],[Order_Date]],"mmm")</f>
        <v>Feb</v>
      </c>
    </row>
    <row r="179" spans="2:13">
      <c r="B179" s="1" t="s">
        <v>88</v>
      </c>
      <c r="C179" s="1" t="s">
        <v>47</v>
      </c>
      <c r="D179" s="1" t="s">
        <v>51</v>
      </c>
      <c r="E179" s="1" t="s">
        <v>22</v>
      </c>
      <c r="F179" s="1">
        <v>826.97</v>
      </c>
      <c r="G179" s="1">
        <v>18</v>
      </c>
      <c r="H179" s="1">
        <v>0.2</v>
      </c>
      <c r="I179" s="2">
        <v>45715</v>
      </c>
      <c r="J179" s="1">
        <v>330.79</v>
      </c>
      <c r="K179" s="4">
        <f>SUMIF(Table1[Customer_ID],Table1[[#This Row],[Customer_ID]],Table1[Sales])</f>
        <v>4951.8899999999994</v>
      </c>
      <c r="L179" s="18">
        <f t="shared" ca="1" si="5"/>
        <v>46111.750599537037</v>
      </c>
      <c r="M179" s="1" t="str">
        <f>TEXT(Table1[[#This Row],[Order_Date]],"mmm")</f>
        <v>Feb</v>
      </c>
    </row>
    <row r="180" spans="2:13">
      <c r="B180" s="1" t="s">
        <v>25</v>
      </c>
      <c r="C180" s="1" t="s">
        <v>47</v>
      </c>
      <c r="D180" s="1" t="s">
        <v>51</v>
      </c>
      <c r="E180" s="1" t="s">
        <v>22</v>
      </c>
      <c r="F180" s="1">
        <v>1022.23</v>
      </c>
      <c r="G180" s="1">
        <v>8</v>
      </c>
      <c r="H180" s="1">
        <v>0.1</v>
      </c>
      <c r="I180" s="2">
        <v>45717</v>
      </c>
      <c r="J180" s="1">
        <v>460</v>
      </c>
      <c r="K180" s="4">
        <f>SUMIF(Table1[Customer_ID],Table1[[#This Row],[Customer_ID]],Table1[Sales])</f>
        <v>3419.2</v>
      </c>
      <c r="L180" s="18">
        <f t="shared" ca="1" si="5"/>
        <v>46111.750599537037</v>
      </c>
      <c r="M180" s="1" t="str">
        <f>TEXT(Table1[[#This Row],[Order_Date]],"mmm")</f>
        <v>Mar</v>
      </c>
    </row>
    <row r="181" spans="2:13">
      <c r="B181" s="1" t="s">
        <v>28</v>
      </c>
      <c r="C181" s="1" t="s">
        <v>43</v>
      </c>
      <c r="D181" s="1" t="s">
        <v>27</v>
      </c>
      <c r="E181" s="1" t="s">
        <v>17</v>
      </c>
      <c r="F181" s="1">
        <v>1099.69</v>
      </c>
      <c r="G181" s="1">
        <v>6</v>
      </c>
      <c r="H181" s="1">
        <v>0</v>
      </c>
      <c r="I181" s="2">
        <v>45718</v>
      </c>
      <c r="J181" s="1">
        <v>439.88</v>
      </c>
      <c r="K181" s="4">
        <f>SUMIF(Table1[Customer_ID],Table1[[#This Row],[Customer_ID]],Table1[Sales])</f>
        <v>7813.59</v>
      </c>
      <c r="L181" s="18">
        <f t="shared" ca="1" si="5"/>
        <v>46111.750599537037</v>
      </c>
      <c r="M181" s="1" t="str">
        <f>TEXT(Table1[[#This Row],[Order_Date]],"mmm")</f>
        <v>Mar</v>
      </c>
    </row>
    <row r="182" spans="2:13">
      <c r="B182" s="1" t="s">
        <v>54</v>
      </c>
      <c r="C182" s="1" t="s">
        <v>79</v>
      </c>
      <c r="D182" s="1" t="s">
        <v>37</v>
      </c>
      <c r="E182" s="1" t="s">
        <v>17</v>
      </c>
      <c r="F182" s="1">
        <v>710.52</v>
      </c>
      <c r="G182" s="1">
        <v>8</v>
      </c>
      <c r="H182" s="1">
        <v>0.1</v>
      </c>
      <c r="I182" s="2">
        <v>45721</v>
      </c>
      <c r="J182" s="1">
        <v>255.79</v>
      </c>
      <c r="K182" s="4">
        <f>SUMIF(Table1[Customer_ID],Table1[[#This Row],[Customer_ID]],Table1[Sales])</f>
        <v>10293.870000000001</v>
      </c>
      <c r="L182" s="18">
        <f t="shared" ca="1" si="5"/>
        <v>46111.750599537037</v>
      </c>
      <c r="M182" s="1" t="str">
        <f>TEXT(Table1[[#This Row],[Order_Date]],"mmm")</f>
        <v>Mar</v>
      </c>
    </row>
    <row r="183" spans="2:13">
      <c r="B183" s="1" t="s">
        <v>54</v>
      </c>
      <c r="C183" s="1" t="s">
        <v>74</v>
      </c>
      <c r="D183" s="1" t="s">
        <v>37</v>
      </c>
      <c r="E183" s="1" t="s">
        <v>17</v>
      </c>
      <c r="F183" s="1">
        <v>499.18</v>
      </c>
      <c r="G183" s="1">
        <v>15</v>
      </c>
      <c r="H183" s="1">
        <v>0.2</v>
      </c>
      <c r="I183" s="2">
        <v>45724</v>
      </c>
      <c r="J183" s="1">
        <v>159.74</v>
      </c>
      <c r="K183" s="4">
        <f>SUMIF(Table1[Customer_ID],Table1[[#This Row],[Customer_ID]],Table1[Sales])</f>
        <v>10293.870000000001</v>
      </c>
      <c r="L183" s="18">
        <f t="shared" ca="1" si="5"/>
        <v>46111.750599537037</v>
      </c>
      <c r="M183" s="1" t="str">
        <f>TEXT(Table1[[#This Row],[Order_Date]],"mmm")</f>
        <v>Mar</v>
      </c>
    </row>
    <row r="184" spans="2:13">
      <c r="B184" s="1" t="s">
        <v>55</v>
      </c>
      <c r="C184" s="1" t="s">
        <v>56</v>
      </c>
      <c r="D184" s="1" t="s">
        <v>31</v>
      </c>
      <c r="E184" s="1" t="s">
        <v>17</v>
      </c>
      <c r="F184" s="1">
        <v>1064.19</v>
      </c>
      <c r="G184" s="1">
        <v>18</v>
      </c>
      <c r="H184" s="1">
        <v>0.05</v>
      </c>
      <c r="I184" s="2">
        <v>45725</v>
      </c>
      <c r="J184" s="1">
        <v>404.39</v>
      </c>
      <c r="K184" s="4">
        <f>SUMIF(Table1[Customer_ID],Table1[[#This Row],[Customer_ID]],Table1[Sales])</f>
        <v>6729.8899999999994</v>
      </c>
      <c r="L184" s="18">
        <f t="shared" ca="1" si="5"/>
        <v>46111.750599537037</v>
      </c>
      <c r="M184" s="1" t="str">
        <f>TEXT(Table1[[#This Row],[Order_Date]],"mmm")</f>
        <v>Mar</v>
      </c>
    </row>
    <row r="185" spans="2:13">
      <c r="B185" s="1" t="s">
        <v>23</v>
      </c>
      <c r="C185" s="1" t="s">
        <v>56</v>
      </c>
      <c r="D185" s="1" t="s">
        <v>27</v>
      </c>
      <c r="E185" s="1" t="s">
        <v>57</v>
      </c>
      <c r="F185" s="1">
        <v>438.76</v>
      </c>
      <c r="G185" s="1">
        <v>18</v>
      </c>
      <c r="H185" s="1">
        <v>0.05</v>
      </c>
      <c r="I185" s="2">
        <v>45726</v>
      </c>
      <c r="J185" s="1">
        <v>187.57</v>
      </c>
      <c r="K185" s="4">
        <f>SUMIF(Table1[Customer_ID],Table1[[#This Row],[Customer_ID]],Table1[Sales])</f>
        <v>8490.18</v>
      </c>
      <c r="L185" s="18">
        <f t="shared" ca="1" si="5"/>
        <v>46111.750599537037</v>
      </c>
      <c r="M185" s="1" t="str">
        <f>TEXT(Table1[[#This Row],[Order_Date]],"mmm")</f>
        <v>Mar</v>
      </c>
    </row>
    <row r="186" spans="2:13">
      <c r="B186" s="1" t="s">
        <v>60</v>
      </c>
      <c r="C186" s="1" t="s">
        <v>72</v>
      </c>
      <c r="D186" s="1" t="s">
        <v>16</v>
      </c>
      <c r="E186" s="1" t="s">
        <v>22</v>
      </c>
      <c r="F186" s="1">
        <v>864.98</v>
      </c>
      <c r="G186" s="1">
        <v>2</v>
      </c>
      <c r="H186" s="1">
        <v>0.05</v>
      </c>
      <c r="I186" s="2">
        <v>45727</v>
      </c>
      <c r="J186" s="1">
        <v>410.87</v>
      </c>
      <c r="K186" s="4">
        <f>SUMIF(Table1[Customer_ID],Table1[[#This Row],[Customer_ID]],Table1[Sales])</f>
        <v>5779.05</v>
      </c>
      <c r="L186" s="18">
        <f t="shared" ca="1" si="5"/>
        <v>46111.750599537037</v>
      </c>
      <c r="M186" s="1" t="str">
        <f>TEXT(Table1[[#This Row],[Order_Date]],"mmm")</f>
        <v>Mar</v>
      </c>
    </row>
    <row r="187" spans="2:13">
      <c r="B187" s="1" t="s">
        <v>48</v>
      </c>
      <c r="C187" s="1" t="s">
        <v>72</v>
      </c>
      <c r="D187" s="1" t="s">
        <v>16</v>
      </c>
      <c r="E187" s="1" t="s">
        <v>40</v>
      </c>
      <c r="F187" s="1">
        <v>984.93</v>
      </c>
      <c r="G187" s="1">
        <v>14</v>
      </c>
      <c r="H187" s="1">
        <v>0.2</v>
      </c>
      <c r="I187" s="2">
        <v>45733</v>
      </c>
      <c r="J187" s="1">
        <v>275.77999999999997</v>
      </c>
      <c r="K187" s="4">
        <f>SUMIF(Table1[Customer_ID],Table1[[#This Row],[Customer_ID]],Table1[Sales])</f>
        <v>8740.18</v>
      </c>
      <c r="L187" s="18">
        <f t="shared" ca="1" si="5"/>
        <v>46111.750599537037</v>
      </c>
      <c r="M187" s="1" t="str">
        <f>TEXT(Table1[[#This Row],[Order_Date]],"mmm")</f>
        <v>Mar</v>
      </c>
    </row>
    <row r="188" spans="2:13">
      <c r="B188" s="1" t="s">
        <v>33</v>
      </c>
      <c r="C188" s="1" t="s">
        <v>72</v>
      </c>
      <c r="D188" s="1" t="s">
        <v>16</v>
      </c>
      <c r="E188" s="1" t="s">
        <v>22</v>
      </c>
      <c r="F188" s="1">
        <v>1493.49</v>
      </c>
      <c r="G188" s="1">
        <v>18</v>
      </c>
      <c r="H188" s="1">
        <v>0</v>
      </c>
      <c r="I188" s="2">
        <v>45734</v>
      </c>
      <c r="J188" s="1">
        <v>746.74</v>
      </c>
      <c r="K188" s="4">
        <f>SUMIF(Table1[Customer_ID],Table1[[#This Row],[Customer_ID]],Table1[Sales])</f>
        <v>9941.8799999999992</v>
      </c>
      <c r="L188" s="18">
        <f t="shared" ca="1" si="5"/>
        <v>46111.750599537037</v>
      </c>
      <c r="M188" s="1" t="str">
        <f>TEXT(Table1[[#This Row],[Order_Date]],"mmm")</f>
        <v>Mar</v>
      </c>
    </row>
    <row r="189" spans="2:13">
      <c r="B189" s="1" t="s">
        <v>49</v>
      </c>
      <c r="C189" s="1" t="s">
        <v>70</v>
      </c>
      <c r="D189" s="1" t="s">
        <v>31</v>
      </c>
      <c r="E189" s="1" t="s">
        <v>22</v>
      </c>
      <c r="F189" s="1">
        <v>689.43</v>
      </c>
      <c r="G189" s="1">
        <v>9</v>
      </c>
      <c r="H189" s="1">
        <v>0.1</v>
      </c>
      <c r="I189" s="2">
        <v>45736</v>
      </c>
      <c r="J189" s="1">
        <v>310.24</v>
      </c>
      <c r="K189" s="4">
        <f>SUMIF(Table1[Customer_ID],Table1[[#This Row],[Customer_ID]],Table1[Sales])</f>
        <v>6505.2</v>
      </c>
      <c r="L189" s="18">
        <f t="shared" ca="1" si="5"/>
        <v>46111.750599537037</v>
      </c>
      <c r="M189" s="1" t="str">
        <f>TEXT(Table1[[#This Row],[Order_Date]],"mmm")</f>
        <v>Mar</v>
      </c>
    </row>
    <row r="190" spans="2:13">
      <c r="B190" s="1" t="s">
        <v>59</v>
      </c>
      <c r="C190" s="1" t="s">
        <v>74</v>
      </c>
      <c r="D190" s="1" t="s">
        <v>31</v>
      </c>
      <c r="E190" s="1" t="s">
        <v>22</v>
      </c>
      <c r="F190" s="1">
        <v>682.24</v>
      </c>
      <c r="G190" s="1">
        <v>1</v>
      </c>
      <c r="H190" s="1">
        <v>0</v>
      </c>
      <c r="I190" s="2">
        <v>45738</v>
      </c>
      <c r="J190" s="1">
        <v>341.12</v>
      </c>
      <c r="K190" s="4">
        <f>SUMIF(Table1[Customer_ID],Table1[[#This Row],[Customer_ID]],Table1[Sales])</f>
        <v>5913.68</v>
      </c>
      <c r="L190" s="18">
        <f t="shared" ca="1" si="5"/>
        <v>46111.750599537037</v>
      </c>
      <c r="M190" s="1" t="str">
        <f>TEXT(Table1[[#This Row],[Order_Date]],"mmm")</f>
        <v>Mar</v>
      </c>
    </row>
    <row r="191" spans="2:13">
      <c r="B191" s="1" t="s">
        <v>60</v>
      </c>
      <c r="C191" s="1" t="s">
        <v>39</v>
      </c>
      <c r="D191" s="1" t="s">
        <v>37</v>
      </c>
      <c r="E191" s="1" t="s">
        <v>32</v>
      </c>
      <c r="F191" s="1">
        <v>458.54</v>
      </c>
      <c r="G191" s="1">
        <v>15</v>
      </c>
      <c r="H191" s="1">
        <v>0.2</v>
      </c>
      <c r="I191" s="2">
        <v>45741</v>
      </c>
      <c r="J191" s="1">
        <v>91.71</v>
      </c>
      <c r="K191" s="4">
        <f>SUMIF(Table1[Customer_ID],Table1[[#This Row],[Customer_ID]],Table1[Sales])</f>
        <v>5779.05</v>
      </c>
      <c r="L191" s="18">
        <f t="shared" ca="1" si="5"/>
        <v>46111.750599537037</v>
      </c>
      <c r="M191" s="1" t="str">
        <f>TEXT(Table1[[#This Row],[Order_Date]],"mmm")</f>
        <v>Mar</v>
      </c>
    </row>
    <row r="192" spans="2:13">
      <c r="B192" s="1" t="s">
        <v>49</v>
      </c>
      <c r="C192" s="1" t="s">
        <v>39</v>
      </c>
      <c r="D192" s="1" t="s">
        <v>31</v>
      </c>
      <c r="E192" s="1" t="s">
        <v>40</v>
      </c>
      <c r="F192" s="1">
        <v>1184.25</v>
      </c>
      <c r="G192" s="1">
        <v>11</v>
      </c>
      <c r="H192" s="1">
        <v>0.2</v>
      </c>
      <c r="I192" s="2">
        <v>45742</v>
      </c>
      <c r="J192" s="1">
        <v>331.59</v>
      </c>
      <c r="K192" s="4">
        <f>SUMIF(Table1[Customer_ID],Table1[[#This Row],[Customer_ID]],Table1[Sales])</f>
        <v>6505.2</v>
      </c>
      <c r="L192" s="18">
        <f t="shared" ca="1" si="5"/>
        <v>46111.750599537037</v>
      </c>
      <c r="M192" s="1" t="str">
        <f>TEXT(Table1[[#This Row],[Order_Date]],"mmm")</f>
        <v>Mar</v>
      </c>
    </row>
    <row r="193" spans="2:13">
      <c r="B193" s="1" t="s">
        <v>33</v>
      </c>
      <c r="C193" s="1" t="s">
        <v>15</v>
      </c>
      <c r="D193" s="1" t="s">
        <v>31</v>
      </c>
      <c r="E193" s="1" t="s">
        <v>22</v>
      </c>
      <c r="F193" s="1">
        <v>762.14</v>
      </c>
      <c r="G193" s="1">
        <v>9</v>
      </c>
      <c r="H193" s="1">
        <v>0</v>
      </c>
      <c r="I193" s="2">
        <v>45743</v>
      </c>
      <c r="J193" s="1">
        <v>381.07</v>
      </c>
      <c r="K193" s="4">
        <f>SUMIF(Table1[Customer_ID],Table1[[#This Row],[Customer_ID]],Table1[Sales])</f>
        <v>9941.8799999999992</v>
      </c>
      <c r="L193" s="18">
        <f t="shared" ca="1" si="5"/>
        <v>46111.750599537037</v>
      </c>
      <c r="M193" s="1" t="str">
        <f>TEXT(Table1[[#This Row],[Order_Date]],"mmm")</f>
        <v>Mar</v>
      </c>
    </row>
    <row r="194" spans="2:13">
      <c r="B194" s="1" t="s">
        <v>35</v>
      </c>
      <c r="C194" s="1" t="s">
        <v>70</v>
      </c>
      <c r="D194" s="1" t="s">
        <v>37</v>
      </c>
      <c r="E194" s="1" t="s">
        <v>17</v>
      </c>
      <c r="F194" s="1">
        <v>750.71</v>
      </c>
      <c r="G194" s="1">
        <v>10</v>
      </c>
      <c r="H194" s="1">
        <v>0.15</v>
      </c>
      <c r="I194" s="2">
        <v>45743</v>
      </c>
      <c r="J194" s="1">
        <v>255.24</v>
      </c>
      <c r="K194" s="4">
        <f>SUMIF(Table1[Customer_ID],Table1[[#This Row],[Customer_ID]],Table1[Sales])</f>
        <v>7928.71</v>
      </c>
      <c r="L194" s="18">
        <f t="shared" ca="1" si="5"/>
        <v>46111.750599537037</v>
      </c>
      <c r="M194" s="1" t="str">
        <f>TEXT(Table1[[#This Row],[Order_Date]],"mmm")</f>
        <v>Mar</v>
      </c>
    </row>
    <row r="195" spans="2:13">
      <c r="B195" s="1" t="s">
        <v>88</v>
      </c>
      <c r="C195" s="1" t="s">
        <v>85</v>
      </c>
      <c r="D195" s="1" t="s">
        <v>51</v>
      </c>
      <c r="E195" s="1" t="s">
        <v>22</v>
      </c>
      <c r="F195" s="1">
        <v>1456.94</v>
      </c>
      <c r="G195" s="1">
        <v>14</v>
      </c>
      <c r="H195" s="1">
        <v>0.05</v>
      </c>
      <c r="I195" s="2">
        <v>45745</v>
      </c>
      <c r="J195" s="1">
        <v>692.05</v>
      </c>
      <c r="K195" s="4">
        <f>SUMIF(Table1[Customer_ID],Table1[[#This Row],[Customer_ID]],Table1[Sales])</f>
        <v>4951.8899999999994</v>
      </c>
      <c r="L195" s="18">
        <f t="shared" ref="L195:L202" ca="1" si="6">NOW()</f>
        <v>46111.750599537037</v>
      </c>
      <c r="M195" s="1" t="str">
        <f>TEXT(Table1[[#This Row],[Order_Date]],"mmm")</f>
        <v>Mar</v>
      </c>
    </row>
    <row r="196" spans="2:13">
      <c r="B196" s="1" t="s">
        <v>38</v>
      </c>
      <c r="C196" s="1" t="s">
        <v>76</v>
      </c>
      <c r="D196" s="1" t="s">
        <v>27</v>
      </c>
      <c r="E196" s="1" t="s">
        <v>40</v>
      </c>
      <c r="F196" s="1">
        <v>1093.3800000000001</v>
      </c>
      <c r="G196" s="1">
        <v>17</v>
      </c>
      <c r="H196" s="1">
        <v>0.1</v>
      </c>
      <c r="I196" s="2">
        <v>45745</v>
      </c>
      <c r="J196" s="1">
        <v>344.41</v>
      </c>
      <c r="K196" s="4">
        <f>SUMIF(Table1[Customer_ID],Table1[[#This Row],[Customer_ID]],Table1[Sales])</f>
        <v>9760.7999999999993</v>
      </c>
      <c r="L196" s="18">
        <f t="shared" ca="1" si="6"/>
        <v>46111.750599537037</v>
      </c>
      <c r="M196" s="1" t="str">
        <f>TEXT(Table1[[#This Row],[Order_Date]],"mmm")</f>
        <v>Mar</v>
      </c>
    </row>
    <row r="197" spans="2:13">
      <c r="B197" s="1" t="s">
        <v>55</v>
      </c>
      <c r="C197" s="1" t="s">
        <v>62</v>
      </c>
      <c r="D197" s="1" t="s">
        <v>16</v>
      </c>
      <c r="E197" s="1" t="s">
        <v>22</v>
      </c>
      <c r="F197" s="1">
        <v>934.27</v>
      </c>
      <c r="G197" s="1">
        <v>8</v>
      </c>
      <c r="H197" s="1">
        <v>0.15</v>
      </c>
      <c r="I197" s="2">
        <v>45746</v>
      </c>
      <c r="J197" s="1">
        <v>397.06</v>
      </c>
      <c r="K197" s="4">
        <f>SUMIF(Table1[Customer_ID],Table1[[#This Row],[Customer_ID]],Table1[Sales])</f>
        <v>6729.8899999999994</v>
      </c>
      <c r="L197" s="18">
        <f t="shared" ca="1" si="6"/>
        <v>46111.750599537037</v>
      </c>
      <c r="M197" s="1" t="str">
        <f>TEXT(Table1[[#This Row],[Order_Date]],"mmm")</f>
        <v>Mar</v>
      </c>
    </row>
    <row r="198" spans="2:13">
      <c r="B198" s="1" t="s">
        <v>84</v>
      </c>
      <c r="C198" s="1" t="s">
        <v>53</v>
      </c>
      <c r="D198" s="1" t="s">
        <v>51</v>
      </c>
      <c r="E198" s="1" t="s">
        <v>22</v>
      </c>
      <c r="F198" s="1">
        <v>1465.35</v>
      </c>
      <c r="G198" s="1">
        <v>8</v>
      </c>
      <c r="H198" s="1">
        <v>0.2</v>
      </c>
      <c r="I198" s="2">
        <v>45746</v>
      </c>
      <c r="J198" s="1">
        <v>586.14</v>
      </c>
      <c r="K198" s="4">
        <f>SUMIF(Table1[Customer_ID],Table1[[#This Row],[Customer_ID]],Table1[Sales])</f>
        <v>7583.1299999999992</v>
      </c>
      <c r="L198" s="18">
        <f t="shared" ca="1" si="6"/>
        <v>46111.750599537037</v>
      </c>
      <c r="M198" s="1" t="str">
        <f>TEXT(Table1[[#This Row],[Order_Date]],"mmm")</f>
        <v>Mar</v>
      </c>
    </row>
    <row r="199" spans="2:13">
      <c r="B199" s="1" t="s">
        <v>54</v>
      </c>
      <c r="C199" s="1" t="s">
        <v>21</v>
      </c>
      <c r="D199" s="1" t="s">
        <v>31</v>
      </c>
      <c r="E199" s="1" t="s">
        <v>57</v>
      </c>
      <c r="F199" s="1">
        <v>740.8</v>
      </c>
      <c r="G199" s="1">
        <v>3</v>
      </c>
      <c r="H199" s="1">
        <v>0</v>
      </c>
      <c r="I199" s="2">
        <v>45749</v>
      </c>
      <c r="J199" s="1">
        <v>333.36</v>
      </c>
      <c r="K199" s="4">
        <f>SUMIF(Table1[Customer_ID],Table1[[#This Row],[Customer_ID]],Table1[Sales])</f>
        <v>10293.870000000001</v>
      </c>
      <c r="L199" s="18">
        <f t="shared" ca="1" si="6"/>
        <v>46111.750599537037</v>
      </c>
      <c r="M199" s="1" t="str">
        <f>TEXT(Table1[[#This Row],[Order_Date]],"mmm")</f>
        <v>Apr</v>
      </c>
    </row>
    <row r="200" spans="2:13">
      <c r="B200" s="1" t="s">
        <v>44</v>
      </c>
      <c r="C200" s="1" t="s">
        <v>62</v>
      </c>
      <c r="D200" s="1" t="s">
        <v>16</v>
      </c>
      <c r="E200" s="1" t="s">
        <v>57</v>
      </c>
      <c r="F200" s="1">
        <v>545.44000000000005</v>
      </c>
      <c r="G200" s="1">
        <v>17</v>
      </c>
      <c r="H200" s="1">
        <v>0</v>
      </c>
      <c r="I200" s="2">
        <v>45752</v>
      </c>
      <c r="J200" s="1">
        <v>245.45</v>
      </c>
      <c r="K200" s="4">
        <f>SUMIF(Table1[Customer_ID],Table1[[#This Row],[Customer_ID]],Table1[Sales])</f>
        <v>11611.060000000001</v>
      </c>
      <c r="L200" s="18">
        <f t="shared" ca="1" si="6"/>
        <v>46111.750599537037</v>
      </c>
      <c r="M200" s="1" t="str">
        <f>TEXT(Table1[[#This Row],[Order_Date]],"mmm")</f>
        <v>Apr</v>
      </c>
    </row>
    <row r="201" spans="2:13">
      <c r="B201" s="1" t="s">
        <v>52</v>
      </c>
      <c r="C201" s="1" t="s">
        <v>53</v>
      </c>
      <c r="D201" s="1" t="s">
        <v>27</v>
      </c>
      <c r="E201" s="1" t="s">
        <v>17</v>
      </c>
      <c r="F201" s="1">
        <v>997.61</v>
      </c>
      <c r="G201" s="1">
        <v>8</v>
      </c>
      <c r="H201" s="1">
        <v>0.05</v>
      </c>
      <c r="I201" s="2">
        <v>45752</v>
      </c>
      <c r="J201" s="1">
        <v>379.09</v>
      </c>
      <c r="K201" s="4">
        <f>SUMIF(Table1[Customer_ID],Table1[[#This Row],[Customer_ID]],Table1[Sales])</f>
        <v>4259.22</v>
      </c>
      <c r="L201" s="18">
        <f t="shared" ca="1" si="6"/>
        <v>46111.750599537037</v>
      </c>
      <c r="M201" s="1" t="str">
        <f>TEXT(Table1[[#This Row],[Order_Date]],"mmm")</f>
        <v>Apr</v>
      </c>
    </row>
    <row r="202" spans="2:13">
      <c r="B202" s="1" t="s">
        <v>75</v>
      </c>
      <c r="C202" s="1" t="s">
        <v>53</v>
      </c>
      <c r="D202" s="1" t="s">
        <v>31</v>
      </c>
      <c r="E202" s="1" t="s">
        <v>22</v>
      </c>
      <c r="F202" s="1">
        <v>928.32</v>
      </c>
      <c r="G202" s="1">
        <v>2</v>
      </c>
      <c r="H202" s="1">
        <v>0.05</v>
      </c>
      <c r="I202" s="2">
        <v>45754</v>
      </c>
      <c r="J202" s="1">
        <v>440.95</v>
      </c>
      <c r="K202" s="4">
        <f>SUMIF(Table1[Customer_ID],Table1[[#This Row],[Customer_ID]],Table1[Sales])</f>
        <v>3369.17</v>
      </c>
      <c r="L202" s="18">
        <f t="shared" ca="1" si="6"/>
        <v>46111.750599537037</v>
      </c>
      <c r="M202" s="1" t="str">
        <f>TEXT(Table1[[#This Row],[Order_Date]],"mmm")</f>
        <v>Apr</v>
      </c>
    </row>
  </sheetData>
  <mergeCells count="2">
    <mergeCell ref="O2:P2"/>
    <mergeCell ref="R2:S2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C61B-D2F3-4DB4-BBAD-99102F75BC9B}">
  <dimension ref="A3:G10"/>
  <sheetViews>
    <sheetView workbookViewId="0">
      <selection activeCell="D16" sqref="D16"/>
    </sheetView>
  </sheetViews>
  <sheetFormatPr defaultRowHeight="15"/>
  <cols>
    <col min="1" max="1" width="20.42578125" bestFit="1" customWidth="1"/>
    <col min="2" max="2" width="19.85546875" bestFit="1" customWidth="1"/>
    <col min="3" max="5" width="13" bestFit="1" customWidth="1"/>
    <col min="6" max="6" width="14.42578125" bestFit="1" customWidth="1"/>
    <col min="7" max="7" width="14.5703125" bestFit="1" customWidth="1"/>
    <col min="8" max="14" width="10" bestFit="1" customWidth="1"/>
    <col min="15" max="19" width="8.85546875" bestFit="1" customWidth="1"/>
    <col min="20" max="26" width="10" bestFit="1" customWidth="1"/>
    <col min="27" max="32" width="8.85546875" bestFit="1" customWidth="1"/>
    <col min="33" max="41" width="10" bestFit="1" customWidth="1"/>
    <col min="42" max="45" width="8.85546875" bestFit="1" customWidth="1"/>
    <col min="46" max="51" width="10" bestFit="1" customWidth="1"/>
    <col min="52" max="54" width="8.85546875" bestFit="1" customWidth="1"/>
    <col min="55" max="59" width="10" bestFit="1" customWidth="1"/>
    <col min="60" max="61" width="8.85546875" bestFit="1" customWidth="1"/>
    <col min="62" max="74" width="10" bestFit="1" customWidth="1"/>
    <col min="75" max="83" width="11" bestFit="1" customWidth="1"/>
    <col min="84" max="86" width="10" bestFit="1" customWidth="1"/>
    <col min="87" max="96" width="11" bestFit="1" customWidth="1"/>
    <col min="97" max="98" width="10" bestFit="1" customWidth="1"/>
    <col min="99" max="105" width="11" bestFit="1" customWidth="1"/>
    <col min="106" max="109" width="8.85546875" bestFit="1" customWidth="1"/>
    <col min="110" max="117" width="10" bestFit="1" customWidth="1"/>
    <col min="118" max="121" width="8.85546875" bestFit="1" customWidth="1"/>
    <col min="122" max="130" width="10" bestFit="1" customWidth="1"/>
    <col min="131" max="135" width="8.85546875" bestFit="1" customWidth="1"/>
    <col min="136" max="146" width="10" bestFit="1" customWidth="1"/>
    <col min="147" max="149" width="8.85546875" bestFit="1" customWidth="1"/>
    <col min="150" max="150" width="11.140625" bestFit="1" customWidth="1"/>
    <col min="151" max="156" width="8" bestFit="1" customWidth="1"/>
    <col min="157" max="157" width="6.85546875" bestFit="1" customWidth="1"/>
    <col min="158" max="165" width="8" bestFit="1" customWidth="1"/>
    <col min="166" max="166" width="6.85546875" bestFit="1" customWidth="1"/>
    <col min="167" max="181" width="8" bestFit="1" customWidth="1"/>
    <col min="182" max="182" width="6.85546875" bestFit="1" customWidth="1"/>
    <col min="183" max="193" width="8" bestFit="1" customWidth="1"/>
    <col min="194" max="194" width="6.85546875" bestFit="1" customWidth="1"/>
    <col min="195" max="200" width="8" bestFit="1" customWidth="1"/>
    <col min="201" max="201" width="11.140625" bestFit="1" customWidth="1"/>
  </cols>
  <sheetData>
    <row r="3" spans="1:7">
      <c r="A3" s="5" t="s">
        <v>89</v>
      </c>
      <c r="B3" s="5" t="s">
        <v>3</v>
      </c>
      <c r="C3" s="6"/>
      <c r="D3" s="6"/>
      <c r="E3" s="6"/>
      <c r="F3" s="6"/>
      <c r="G3" s="6"/>
    </row>
    <row r="4" spans="1:7">
      <c r="A4" s="5" t="s">
        <v>2</v>
      </c>
      <c r="B4" s="6" t="s">
        <v>17</v>
      </c>
      <c r="C4" s="6" t="s">
        <v>22</v>
      </c>
      <c r="D4" s="6" t="s">
        <v>32</v>
      </c>
      <c r="E4" s="6" t="s">
        <v>40</v>
      </c>
      <c r="F4" s="6" t="s">
        <v>57</v>
      </c>
      <c r="G4" s="6" t="s">
        <v>58</v>
      </c>
    </row>
    <row r="5" spans="1:7">
      <c r="A5" s="6" t="s">
        <v>51</v>
      </c>
      <c r="B5" s="17">
        <v>77937.209999999992</v>
      </c>
      <c r="C5" s="17">
        <v>72895.859999999986</v>
      </c>
      <c r="D5" s="17">
        <v>62205.169999999991</v>
      </c>
      <c r="E5" s="17">
        <v>33270.35</v>
      </c>
      <c r="F5" s="17">
        <v>70323.790000000008</v>
      </c>
      <c r="G5" s="17">
        <v>316632.38</v>
      </c>
    </row>
    <row r="6" spans="1:7">
      <c r="A6" s="6" t="s">
        <v>27</v>
      </c>
      <c r="B6" s="17">
        <v>76406.97</v>
      </c>
      <c r="C6" s="17">
        <v>15857.42</v>
      </c>
      <c r="D6" s="17">
        <v>19843.61</v>
      </c>
      <c r="E6" s="17">
        <v>54288.509999999995</v>
      </c>
      <c r="F6" s="17">
        <v>62412.38</v>
      </c>
      <c r="G6" s="17">
        <v>228808.89</v>
      </c>
    </row>
    <row r="7" spans="1:7">
      <c r="A7" s="6" t="s">
        <v>37</v>
      </c>
      <c r="B7" s="17">
        <v>74002.64</v>
      </c>
      <c r="C7" s="17">
        <v>55047.24</v>
      </c>
      <c r="D7" s="17">
        <v>65471.47</v>
      </c>
      <c r="E7" s="17">
        <v>65246.58</v>
      </c>
      <c r="F7" s="17">
        <v>35609.100000000006</v>
      </c>
      <c r="G7" s="17">
        <v>295377.03000000003</v>
      </c>
    </row>
    <row r="8" spans="1:7">
      <c r="A8" s="6" t="s">
        <v>31</v>
      </c>
      <c r="B8" s="17">
        <v>66981.2</v>
      </c>
      <c r="C8" s="17">
        <v>66859.59</v>
      </c>
      <c r="D8" s="17">
        <v>85658.55</v>
      </c>
      <c r="E8" s="17">
        <v>56590.06</v>
      </c>
      <c r="F8" s="17">
        <v>22521.17</v>
      </c>
      <c r="G8" s="17">
        <v>298610.56999999995</v>
      </c>
    </row>
    <row r="9" spans="1:7">
      <c r="A9" s="6" t="s">
        <v>16</v>
      </c>
      <c r="B9" s="17">
        <v>33128.120000000003</v>
      </c>
      <c r="C9" s="17">
        <v>85796.75</v>
      </c>
      <c r="D9" s="17">
        <v>87284.12</v>
      </c>
      <c r="E9" s="17">
        <v>59908.079999999994</v>
      </c>
      <c r="F9" s="17">
        <v>45426.979999999996</v>
      </c>
      <c r="G9" s="17">
        <v>311544.05</v>
      </c>
    </row>
    <row r="10" spans="1:7">
      <c r="A10" s="6" t="s">
        <v>58</v>
      </c>
      <c r="B10" s="17">
        <v>328456.14</v>
      </c>
      <c r="C10" s="17">
        <v>296456.86</v>
      </c>
      <c r="D10" s="17">
        <v>320462.92</v>
      </c>
      <c r="E10" s="17">
        <v>269303.58</v>
      </c>
      <c r="F10" s="17">
        <v>236293.41999999998</v>
      </c>
      <c r="G10" s="17">
        <v>1450972.9200000002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8273-EFDE-4558-995B-FAE2C9682310}">
  <dimension ref="B3:I17"/>
  <sheetViews>
    <sheetView tabSelected="1" workbookViewId="0">
      <selection activeCell="E27" sqref="E27"/>
    </sheetView>
  </sheetViews>
  <sheetFormatPr defaultRowHeight="15"/>
  <cols>
    <col min="1" max="2" width="17.5703125" customWidth="1"/>
    <col min="3" max="3" width="14" customWidth="1"/>
    <col min="4" max="4" width="12.42578125" customWidth="1"/>
    <col min="5" max="5" width="19.140625" customWidth="1"/>
    <col min="6" max="6" width="15.42578125" customWidth="1"/>
    <col min="7" max="7" width="12.28515625" bestFit="1" customWidth="1"/>
    <col min="8" max="8" width="19.85546875" bestFit="1" customWidth="1"/>
    <col min="9" max="9" width="15" bestFit="1" customWidth="1"/>
  </cols>
  <sheetData>
    <row r="3" spans="2:9">
      <c r="B3" s="25" t="s">
        <v>90</v>
      </c>
      <c r="C3" s="26"/>
      <c r="E3" s="24" t="s">
        <v>91</v>
      </c>
      <c r="F3" s="24"/>
      <c r="H3" s="24" t="s">
        <v>92</v>
      </c>
      <c r="I3" s="24"/>
    </row>
    <row r="4" spans="2:9">
      <c r="B4" s="5" t="s">
        <v>2</v>
      </c>
      <c r="C4" s="6" t="s">
        <v>18</v>
      </c>
      <c r="E4" s="5" t="s">
        <v>3</v>
      </c>
      <c r="F4" s="6" t="s">
        <v>93</v>
      </c>
      <c r="H4" s="5" t="s">
        <v>11</v>
      </c>
      <c r="I4" s="6" t="s">
        <v>18</v>
      </c>
    </row>
    <row r="5" spans="2:9">
      <c r="B5" s="6" t="s">
        <v>51</v>
      </c>
      <c r="C5" s="7">
        <v>43468.33</v>
      </c>
      <c r="E5" s="6" t="s">
        <v>17</v>
      </c>
      <c r="F5" s="7">
        <v>523</v>
      </c>
      <c r="H5" s="6" t="s">
        <v>94</v>
      </c>
      <c r="I5" s="7">
        <v>14914.650000000001</v>
      </c>
    </row>
    <row r="6" spans="2:9">
      <c r="B6" s="6" t="s">
        <v>27</v>
      </c>
      <c r="C6" s="7">
        <v>32441.64</v>
      </c>
      <c r="E6" s="6" t="s">
        <v>22</v>
      </c>
      <c r="F6" s="7">
        <v>386</v>
      </c>
      <c r="H6" s="6" t="s">
        <v>95</v>
      </c>
      <c r="I6" s="7">
        <v>14006.359999999999</v>
      </c>
    </row>
    <row r="7" spans="2:9">
      <c r="B7" s="6" t="s">
        <v>37</v>
      </c>
      <c r="C7" s="7">
        <v>34975.42</v>
      </c>
      <c r="E7" s="6" t="s">
        <v>32</v>
      </c>
      <c r="F7" s="7">
        <v>418</v>
      </c>
      <c r="H7" s="6" t="s">
        <v>96</v>
      </c>
      <c r="I7" s="7">
        <v>17655.219999999998</v>
      </c>
    </row>
    <row r="8" spans="2:9">
      <c r="B8" s="6" t="s">
        <v>31</v>
      </c>
      <c r="C8" s="7">
        <v>40248.79</v>
      </c>
      <c r="E8" s="6" t="s">
        <v>40</v>
      </c>
      <c r="F8" s="7">
        <v>354</v>
      </c>
      <c r="H8" s="6" t="s">
        <v>97</v>
      </c>
      <c r="I8" s="7">
        <v>22242.129999999997</v>
      </c>
    </row>
    <row r="9" spans="2:9">
      <c r="B9" s="6" t="s">
        <v>16</v>
      </c>
      <c r="C9" s="7">
        <v>44083.58</v>
      </c>
      <c r="E9" s="6" t="s">
        <v>57</v>
      </c>
      <c r="F9" s="7">
        <v>318</v>
      </c>
      <c r="H9" s="6" t="s">
        <v>98</v>
      </c>
      <c r="I9" s="7">
        <v>18507.339999999997</v>
      </c>
    </row>
    <row r="10" spans="2:9">
      <c r="B10" s="6" t="s">
        <v>58</v>
      </c>
      <c r="C10" s="7">
        <v>195217.76</v>
      </c>
      <c r="E10" s="6" t="s">
        <v>58</v>
      </c>
      <c r="F10" s="7">
        <v>1999</v>
      </c>
      <c r="H10" s="6" t="s">
        <v>99</v>
      </c>
      <c r="I10" s="7">
        <v>20187.509999999998</v>
      </c>
    </row>
    <row r="11" spans="2:9">
      <c r="H11" s="6" t="s">
        <v>100</v>
      </c>
      <c r="I11" s="7">
        <v>11609.039999999999</v>
      </c>
    </row>
    <row r="12" spans="2:9">
      <c r="H12" s="6" t="s">
        <v>101</v>
      </c>
      <c r="I12" s="7">
        <v>10091.699999999999</v>
      </c>
    </row>
    <row r="13" spans="2:9">
      <c r="H13" s="6" t="s">
        <v>102</v>
      </c>
      <c r="I13" s="7">
        <v>20533.499999999996</v>
      </c>
    </row>
    <row r="14" spans="2:9">
      <c r="H14" s="6" t="s">
        <v>103</v>
      </c>
      <c r="I14" s="7">
        <v>14215.240000000002</v>
      </c>
    </row>
    <row r="15" spans="2:9">
      <c r="H15" s="6" t="s">
        <v>104</v>
      </c>
      <c r="I15" s="7">
        <v>20135.030000000002</v>
      </c>
    </row>
    <row r="16" spans="2:9">
      <c r="H16" s="6" t="s">
        <v>105</v>
      </c>
      <c r="I16" s="7">
        <v>11120.04</v>
      </c>
    </row>
    <row r="17" spans="8:9">
      <c r="H17" s="6" t="s">
        <v>58</v>
      </c>
      <c r="I17" s="7">
        <v>195217.75999999995</v>
      </c>
    </row>
  </sheetData>
  <mergeCells count="3">
    <mergeCell ref="H3:I3"/>
    <mergeCell ref="B3:C3"/>
    <mergeCell ref="E3:F3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019E-18EA-4A84-B41B-F229859DB76A}">
  <dimension ref="A1:J39"/>
  <sheetViews>
    <sheetView workbookViewId="0">
      <selection activeCell="K29" sqref="K29"/>
    </sheetView>
  </sheetViews>
  <sheetFormatPr defaultRowHeight="15"/>
  <cols>
    <col min="1" max="1" width="9.140625" style="30"/>
    <col min="2" max="2" width="18.85546875" style="30" bestFit="1" customWidth="1"/>
    <col min="3" max="6" width="9.140625" style="30"/>
    <col min="7" max="7" width="26.85546875" style="30" bestFit="1" customWidth="1"/>
    <col min="8" max="16384" width="9.140625" style="30"/>
  </cols>
  <sheetData>
    <row r="1" spans="1:10">
      <c r="A1" s="31" t="s">
        <v>106</v>
      </c>
      <c r="B1" s="31" t="s">
        <v>106</v>
      </c>
      <c r="C1" s="31" t="s">
        <v>106</v>
      </c>
      <c r="D1" s="31" t="s">
        <v>106</v>
      </c>
      <c r="E1" s="31" t="s">
        <v>106</v>
      </c>
      <c r="F1" s="31" t="s">
        <v>106</v>
      </c>
      <c r="G1" s="31" t="s">
        <v>106</v>
      </c>
      <c r="H1" s="31" t="s">
        <v>106</v>
      </c>
      <c r="I1" s="31" t="s">
        <v>106</v>
      </c>
      <c r="J1" s="32" t="s">
        <v>106</v>
      </c>
    </row>
    <row r="2" spans="1:10" ht="28.5">
      <c r="A2" s="31" t="s">
        <v>106</v>
      </c>
      <c r="B2" s="70" t="s">
        <v>107</v>
      </c>
      <c r="C2" s="71"/>
      <c r="D2" s="71"/>
      <c r="E2" s="71"/>
      <c r="F2" s="71"/>
      <c r="G2" s="71"/>
      <c r="H2" s="71"/>
      <c r="I2" s="71"/>
      <c r="J2" s="32" t="s">
        <v>106</v>
      </c>
    </row>
    <row r="3" spans="1:10" ht="15" customHeight="1">
      <c r="A3" s="31" t="s">
        <v>106</v>
      </c>
      <c r="B3" s="33" t="s">
        <v>108</v>
      </c>
      <c r="C3" s="34"/>
      <c r="D3" s="35" t="s">
        <v>109</v>
      </c>
      <c r="E3" s="36"/>
      <c r="F3" s="37" t="s">
        <v>110</v>
      </c>
      <c r="G3" s="38"/>
      <c r="H3" s="39" t="s">
        <v>111</v>
      </c>
      <c r="I3" s="40"/>
      <c r="J3" s="32" t="s">
        <v>106</v>
      </c>
    </row>
    <row r="4" spans="1:10">
      <c r="A4" s="31" t="s">
        <v>106</v>
      </c>
      <c r="B4" s="41" t="s">
        <v>112</v>
      </c>
      <c r="C4" s="42"/>
      <c r="D4" s="43">
        <v>1450712.02</v>
      </c>
      <c r="E4" s="44"/>
      <c r="F4" s="45">
        <v>30</v>
      </c>
      <c r="G4" s="46"/>
      <c r="H4" s="47" t="s">
        <v>70</v>
      </c>
      <c r="I4" s="48"/>
      <c r="J4" s="32" t="s">
        <v>106</v>
      </c>
    </row>
    <row r="5" spans="1:10">
      <c r="A5" s="31" t="s">
        <v>106</v>
      </c>
      <c r="B5" s="31" t="s">
        <v>106</v>
      </c>
      <c r="C5" s="31" t="s">
        <v>106</v>
      </c>
      <c r="D5" s="31" t="s">
        <v>106</v>
      </c>
      <c r="E5" s="31" t="s">
        <v>106</v>
      </c>
      <c r="F5" s="31" t="s">
        <v>106</v>
      </c>
      <c r="G5" s="31" t="s">
        <v>106</v>
      </c>
      <c r="H5" s="31" t="s">
        <v>106</v>
      </c>
      <c r="I5" s="31" t="s">
        <v>106</v>
      </c>
      <c r="J5" s="32" t="s">
        <v>106</v>
      </c>
    </row>
    <row r="6" spans="1:10">
      <c r="A6" s="31" t="s">
        <v>106</v>
      </c>
      <c r="B6" s="49" t="s">
        <v>113</v>
      </c>
      <c r="C6" s="50"/>
      <c r="D6" s="51" t="s">
        <v>114</v>
      </c>
      <c r="E6" s="52"/>
      <c r="F6" s="53" t="s">
        <v>115</v>
      </c>
      <c r="G6" s="54"/>
      <c r="H6" s="37" t="s">
        <v>116</v>
      </c>
      <c r="I6" s="38"/>
      <c r="J6" s="32" t="s">
        <v>106</v>
      </c>
    </row>
    <row r="7" spans="1:10">
      <c r="A7" s="31" t="s">
        <v>106</v>
      </c>
      <c r="B7" s="55">
        <v>976.09</v>
      </c>
      <c r="C7" s="56"/>
      <c r="D7" s="57">
        <v>11611.06</v>
      </c>
      <c r="E7" s="58"/>
      <c r="F7" s="59">
        <v>200</v>
      </c>
      <c r="G7" s="60"/>
      <c r="H7" s="61">
        <v>0.3498</v>
      </c>
      <c r="I7" s="62"/>
      <c r="J7" s="63" t="s">
        <v>106</v>
      </c>
    </row>
    <row r="8" spans="1:10">
      <c r="A8" s="31" t="s">
        <v>106</v>
      </c>
      <c r="B8" s="31" t="s">
        <v>106</v>
      </c>
      <c r="C8" s="31" t="s">
        <v>106</v>
      </c>
      <c r="D8" s="31" t="s">
        <v>106</v>
      </c>
      <c r="E8" s="31" t="s">
        <v>106</v>
      </c>
      <c r="F8" s="31" t="s">
        <v>106</v>
      </c>
      <c r="G8" s="31" t="s">
        <v>106</v>
      </c>
      <c r="H8" s="31" t="s">
        <v>106</v>
      </c>
      <c r="I8" s="31" t="s">
        <v>106</v>
      </c>
      <c r="J8" s="32" t="s">
        <v>106</v>
      </c>
    </row>
    <row r="9" spans="1:10">
      <c r="A9" s="31" t="s">
        <v>106</v>
      </c>
      <c r="B9" s="64" t="s">
        <v>117</v>
      </c>
      <c r="C9" s="65"/>
      <c r="D9" s="66" t="s">
        <v>106</v>
      </c>
      <c r="E9" s="66" t="s">
        <v>106</v>
      </c>
      <c r="F9" s="66" t="s">
        <v>106</v>
      </c>
      <c r="G9" s="67" t="s">
        <v>118</v>
      </c>
      <c r="H9" s="65"/>
      <c r="I9" s="68" t="s">
        <v>106</v>
      </c>
      <c r="J9" s="32" t="s">
        <v>106</v>
      </c>
    </row>
    <row r="10" spans="1:10">
      <c r="A10" s="31" t="s">
        <v>106</v>
      </c>
      <c r="B10" s="69"/>
      <c r="C10" s="69"/>
      <c r="D10" s="69"/>
      <c r="E10" s="69"/>
      <c r="F10" s="69"/>
      <c r="G10" s="69"/>
      <c r="H10" s="69"/>
      <c r="I10" s="69"/>
      <c r="J10" s="32" t="s">
        <v>106</v>
      </c>
    </row>
    <row r="11" spans="1:10">
      <c r="A11" s="31" t="s">
        <v>106</v>
      </c>
      <c r="B11" s="69"/>
      <c r="C11" s="69"/>
      <c r="D11" s="69"/>
      <c r="E11" s="69"/>
      <c r="F11" s="69"/>
      <c r="G11" s="69"/>
      <c r="H11" s="69"/>
      <c r="I11" s="69"/>
      <c r="J11" s="32" t="s">
        <v>106</v>
      </c>
    </row>
    <row r="12" spans="1:10">
      <c r="A12" s="31" t="s">
        <v>106</v>
      </c>
      <c r="B12" s="69"/>
      <c r="C12" s="69"/>
      <c r="D12" s="69"/>
      <c r="E12" s="69"/>
      <c r="F12" s="69"/>
      <c r="G12" s="69"/>
      <c r="H12" s="69"/>
      <c r="I12" s="69"/>
      <c r="J12" s="32" t="s">
        <v>106</v>
      </c>
    </row>
    <row r="13" spans="1:10">
      <c r="A13" s="31" t="s">
        <v>106</v>
      </c>
      <c r="B13" s="69"/>
      <c r="C13" s="69"/>
      <c r="D13" s="69"/>
      <c r="E13" s="69"/>
      <c r="F13" s="69"/>
      <c r="G13" s="69"/>
      <c r="H13" s="69"/>
      <c r="I13" s="69"/>
      <c r="J13" s="32" t="s">
        <v>106</v>
      </c>
    </row>
    <row r="14" spans="1:10">
      <c r="A14" s="31" t="s">
        <v>106</v>
      </c>
      <c r="B14" s="69"/>
      <c r="C14" s="69"/>
      <c r="D14" s="69"/>
      <c r="E14" s="69"/>
      <c r="F14" s="69"/>
      <c r="G14" s="69"/>
      <c r="H14" s="69"/>
      <c r="I14" s="69"/>
      <c r="J14" s="32" t="s">
        <v>106</v>
      </c>
    </row>
    <row r="15" spans="1:10">
      <c r="A15" s="31" t="s">
        <v>106</v>
      </c>
      <c r="B15" s="69"/>
      <c r="C15" s="69"/>
      <c r="D15" s="69"/>
      <c r="E15" s="69"/>
      <c r="F15" s="69"/>
      <c r="G15" s="69"/>
      <c r="H15" s="69"/>
      <c r="I15" s="69"/>
      <c r="J15" s="32" t="s">
        <v>106</v>
      </c>
    </row>
    <row r="16" spans="1:10">
      <c r="A16" s="31" t="s">
        <v>106</v>
      </c>
      <c r="B16" s="69"/>
      <c r="C16" s="69"/>
      <c r="D16" s="69"/>
      <c r="E16" s="69"/>
      <c r="F16" s="69"/>
      <c r="G16" s="69"/>
      <c r="H16" s="69"/>
      <c r="I16" s="69"/>
      <c r="J16" s="32" t="s">
        <v>106</v>
      </c>
    </row>
    <row r="17" spans="1:10">
      <c r="A17" s="31" t="s">
        <v>106</v>
      </c>
      <c r="B17" s="69"/>
      <c r="C17" s="69"/>
      <c r="D17" s="69"/>
      <c r="E17" s="69"/>
      <c r="F17" s="69"/>
      <c r="G17" s="69"/>
      <c r="H17" s="69"/>
      <c r="I17" s="69"/>
      <c r="J17" s="32" t="s">
        <v>106</v>
      </c>
    </row>
    <row r="18" spans="1:10">
      <c r="A18" s="31" t="s">
        <v>106</v>
      </c>
      <c r="B18" s="69"/>
      <c r="C18" s="69"/>
      <c r="D18" s="69"/>
      <c r="E18" s="69"/>
      <c r="F18" s="69"/>
      <c r="G18" s="69"/>
      <c r="H18" s="69"/>
      <c r="I18" s="69"/>
      <c r="J18" s="32" t="s">
        <v>106</v>
      </c>
    </row>
    <row r="19" spans="1:10">
      <c r="A19" s="31" t="s">
        <v>106</v>
      </c>
      <c r="B19" s="69"/>
      <c r="C19" s="69"/>
      <c r="D19" s="69"/>
      <c r="E19" s="69"/>
      <c r="F19" s="69"/>
      <c r="G19" s="69"/>
      <c r="H19" s="69"/>
      <c r="I19" s="69"/>
      <c r="J19" s="32" t="s">
        <v>106</v>
      </c>
    </row>
    <row r="20" spans="1:10">
      <c r="A20" s="31" t="s">
        <v>106</v>
      </c>
      <c r="B20" s="69"/>
      <c r="C20" s="69"/>
      <c r="D20" s="69"/>
      <c r="E20" s="69"/>
      <c r="F20" s="69"/>
      <c r="G20" s="69"/>
      <c r="H20" s="69"/>
      <c r="I20" s="69"/>
      <c r="J20" s="32" t="s">
        <v>106</v>
      </c>
    </row>
    <row r="21" spans="1:10">
      <c r="A21" s="31" t="s">
        <v>106</v>
      </c>
      <c r="B21" s="69"/>
      <c r="C21" s="69"/>
      <c r="D21" s="69"/>
      <c r="E21" s="69"/>
      <c r="F21" s="69"/>
      <c r="G21" s="69"/>
      <c r="H21" s="69"/>
      <c r="I21" s="69"/>
      <c r="J21" s="32" t="s">
        <v>106</v>
      </c>
    </row>
    <row r="22" spans="1:10">
      <c r="A22" s="31" t="s">
        <v>106</v>
      </c>
      <c r="B22" s="69"/>
      <c r="C22" s="69"/>
      <c r="D22" s="69"/>
      <c r="E22" s="69"/>
      <c r="F22" s="69"/>
      <c r="G22" s="69"/>
      <c r="H22" s="69"/>
      <c r="I22" s="69"/>
      <c r="J22" s="32" t="s">
        <v>106</v>
      </c>
    </row>
    <row r="23" spans="1:10">
      <c r="A23" s="31" t="s">
        <v>106</v>
      </c>
      <c r="B23" s="69"/>
      <c r="C23" s="69"/>
      <c r="D23" s="69"/>
      <c r="E23" s="69"/>
      <c r="F23" s="69"/>
      <c r="G23" s="69"/>
      <c r="H23" s="69"/>
      <c r="I23" s="69"/>
      <c r="J23" s="32" t="s">
        <v>106</v>
      </c>
    </row>
    <row r="24" spans="1:10">
      <c r="A24" s="31" t="s">
        <v>106</v>
      </c>
      <c r="B24" s="69"/>
      <c r="C24" s="69"/>
      <c r="D24" s="69"/>
      <c r="E24" s="69"/>
      <c r="F24" s="69"/>
      <c r="G24" s="69"/>
      <c r="H24" s="69"/>
      <c r="I24" s="69"/>
      <c r="J24" s="32" t="s">
        <v>106</v>
      </c>
    </row>
    <row r="25" spans="1:10">
      <c r="A25" s="31" t="s">
        <v>106</v>
      </c>
      <c r="B25" s="69"/>
      <c r="C25" s="69"/>
      <c r="D25" s="69"/>
      <c r="E25" s="69"/>
      <c r="F25" s="69"/>
      <c r="G25" s="69"/>
      <c r="H25" s="69"/>
      <c r="I25" s="69"/>
      <c r="J25" s="32" t="s">
        <v>106</v>
      </c>
    </row>
    <row r="26" spans="1:10">
      <c r="A26" s="31" t="s">
        <v>106</v>
      </c>
      <c r="B26" s="69"/>
      <c r="C26" s="69"/>
      <c r="D26" s="69"/>
      <c r="E26" s="69"/>
      <c r="F26" s="69"/>
      <c r="G26" s="69"/>
      <c r="H26" s="69"/>
      <c r="I26" s="69"/>
      <c r="J26" s="32" t="s">
        <v>106</v>
      </c>
    </row>
    <row r="27" spans="1:10">
      <c r="A27" s="31" t="s">
        <v>106</v>
      </c>
      <c r="B27" s="69"/>
      <c r="C27" s="69"/>
      <c r="D27" s="69"/>
      <c r="E27" s="69"/>
      <c r="F27" s="69"/>
      <c r="G27" s="69"/>
      <c r="H27" s="69"/>
      <c r="I27" s="69"/>
      <c r="J27" s="32" t="s">
        <v>106</v>
      </c>
    </row>
    <row r="28" spans="1:10">
      <c r="A28" s="31" t="s">
        <v>106</v>
      </c>
      <c r="B28" s="69"/>
      <c r="C28" s="69"/>
      <c r="D28" s="69"/>
      <c r="E28" s="69"/>
      <c r="F28" s="69"/>
      <c r="G28" s="69"/>
      <c r="H28" s="69"/>
      <c r="I28" s="69"/>
      <c r="J28" s="32" t="s">
        <v>106</v>
      </c>
    </row>
    <row r="29" spans="1:10">
      <c r="A29" s="31" t="s">
        <v>106</v>
      </c>
      <c r="B29" s="69"/>
      <c r="C29" s="69"/>
      <c r="D29" s="69"/>
      <c r="E29" s="69"/>
      <c r="F29" s="69"/>
      <c r="G29" s="69"/>
      <c r="H29" s="69"/>
      <c r="I29" s="69"/>
      <c r="J29" s="32" t="s">
        <v>106</v>
      </c>
    </row>
    <row r="30" spans="1:10">
      <c r="A30" s="31" t="s">
        <v>106</v>
      </c>
      <c r="B30" s="69"/>
      <c r="C30" s="69"/>
      <c r="D30" s="69"/>
      <c r="E30" s="69"/>
      <c r="F30" s="69"/>
      <c r="G30" s="69"/>
      <c r="H30" s="69"/>
      <c r="I30" s="69"/>
      <c r="J30" s="32" t="s">
        <v>106</v>
      </c>
    </row>
    <row r="31" spans="1:10">
      <c r="A31" s="31" t="s">
        <v>106</v>
      </c>
      <c r="B31" s="69"/>
      <c r="C31" s="69"/>
      <c r="D31" s="69"/>
      <c r="E31" s="69"/>
      <c r="F31" s="69"/>
      <c r="G31" s="69"/>
      <c r="H31" s="69"/>
      <c r="I31" s="69"/>
      <c r="J31" s="32" t="s">
        <v>106</v>
      </c>
    </row>
    <row r="32" spans="1:10">
      <c r="A32" s="31" t="s">
        <v>106</v>
      </c>
      <c r="B32" s="69"/>
      <c r="C32" s="69"/>
      <c r="D32" s="69"/>
      <c r="E32" s="69"/>
      <c r="F32" s="69"/>
      <c r="G32" s="69"/>
      <c r="H32" s="69"/>
      <c r="I32" s="69"/>
      <c r="J32" s="32" t="s">
        <v>106</v>
      </c>
    </row>
    <row r="33" spans="1:10">
      <c r="A33" s="31" t="s">
        <v>106</v>
      </c>
      <c r="B33" s="69"/>
      <c r="C33" s="69"/>
      <c r="D33" s="69"/>
      <c r="E33" s="69"/>
      <c r="F33" s="69"/>
      <c r="G33" s="69"/>
      <c r="H33" s="69"/>
      <c r="I33" s="69"/>
      <c r="J33" s="32" t="s">
        <v>106</v>
      </c>
    </row>
    <row r="34" spans="1:10">
      <c r="A34" s="31" t="s">
        <v>106</v>
      </c>
      <c r="B34" s="69"/>
      <c r="C34" s="69"/>
      <c r="D34" s="69"/>
      <c r="E34" s="69"/>
      <c r="F34" s="69"/>
      <c r="G34" s="69"/>
      <c r="H34" s="69"/>
      <c r="I34" s="69"/>
      <c r="J34" s="32" t="s">
        <v>106</v>
      </c>
    </row>
    <row r="35" spans="1:10">
      <c r="A35" s="31" t="s">
        <v>106</v>
      </c>
      <c r="B35" s="69"/>
      <c r="C35" s="69"/>
      <c r="D35" s="69"/>
      <c r="E35" s="69"/>
      <c r="F35" s="69"/>
      <c r="G35" s="69"/>
      <c r="H35" s="69"/>
      <c r="I35" s="69"/>
      <c r="J35" s="32" t="s">
        <v>106</v>
      </c>
    </row>
    <row r="36" spans="1:10">
      <c r="A36" s="31" t="s">
        <v>106</v>
      </c>
      <c r="B36" s="69"/>
      <c r="C36" s="69"/>
      <c r="D36" s="69"/>
      <c r="E36" s="69"/>
      <c r="F36" s="69"/>
      <c r="G36" s="69"/>
      <c r="H36" s="69"/>
      <c r="I36" s="69"/>
      <c r="J36" s="32" t="s">
        <v>106</v>
      </c>
    </row>
    <row r="37" spans="1:10">
      <c r="A37" s="31" t="s">
        <v>106</v>
      </c>
      <c r="B37" s="69"/>
      <c r="C37" s="69"/>
      <c r="D37" s="69"/>
      <c r="E37" s="69"/>
      <c r="F37" s="69"/>
      <c r="G37" s="69"/>
      <c r="H37" s="69"/>
      <c r="I37" s="69"/>
      <c r="J37" s="32" t="s">
        <v>106</v>
      </c>
    </row>
    <row r="38" spans="1:10">
      <c r="A38" s="31" t="s">
        <v>106</v>
      </c>
      <c r="B38" s="69"/>
      <c r="C38" s="69"/>
      <c r="D38" s="69"/>
      <c r="E38" s="69"/>
      <c r="F38" s="69"/>
      <c r="G38" s="69"/>
      <c r="H38" s="69"/>
      <c r="I38" s="69"/>
      <c r="J38" s="32" t="s">
        <v>106</v>
      </c>
    </row>
    <row r="39" spans="1:10">
      <c r="A39" s="31" t="s">
        <v>106</v>
      </c>
      <c r="B39" s="31" t="s">
        <v>106</v>
      </c>
      <c r="C39" s="31" t="s">
        <v>106</v>
      </c>
      <c r="D39" s="31" t="s">
        <v>106</v>
      </c>
      <c r="E39" s="31" t="s">
        <v>106</v>
      </c>
      <c r="F39" s="31" t="s">
        <v>106</v>
      </c>
      <c r="G39" s="31" t="s">
        <v>106</v>
      </c>
      <c r="H39" s="31" t="s">
        <v>106</v>
      </c>
      <c r="I39" s="31" t="s">
        <v>106</v>
      </c>
      <c r="J39" s="32" t="s">
        <v>106</v>
      </c>
    </row>
  </sheetData>
  <mergeCells count="18">
    <mergeCell ref="B10:I38"/>
    <mergeCell ref="B2:I2"/>
    <mergeCell ref="B6:C6"/>
    <mergeCell ref="D6:E6"/>
    <mergeCell ref="F6:G6"/>
    <mergeCell ref="H6:I6"/>
    <mergeCell ref="B7:C7"/>
    <mergeCell ref="D7:E7"/>
    <mergeCell ref="F7:G7"/>
    <mergeCell ref="H7:I7"/>
    <mergeCell ref="B3:C3"/>
    <mergeCell ref="D3:E3"/>
    <mergeCell ref="F3:G3"/>
    <mergeCell ref="H3:I3"/>
    <mergeCell ref="B4:C4"/>
    <mergeCell ref="D4:E4"/>
    <mergeCell ref="F4:G4"/>
    <mergeCell ref="H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2026-03-29T16:05:38Z</dcterms:created>
  <dcterms:modified xsi:type="dcterms:W3CDTF">2026-03-30T12:32:26Z</dcterms:modified>
  <cp:category/>
  <cp:contentStatus/>
</cp:coreProperties>
</file>