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xr:revisionPtr revIDLastSave="0" documentId="8_{085AC45D-BB7A-4A18-8179-775E7796DBA0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Student_Data" sheetId="1" r:id="rId1"/>
    <sheet name="Sales_Data" sheetId="2" r:id="rId2"/>
    <sheet name="Employee&quot;s_Data" sheetId="3" r:id="rId3"/>
  </sheets>
  <definedNames>
    <definedName name="_xlnm._FilterDatabase" localSheetId="0" hidden="1">Student_Data!$A$2:$F$2</definedName>
    <definedName name="_xlnm._FilterDatabase" localSheetId="1" hidden="1">Sales_Data!$B$3:$N$3</definedName>
    <definedName name="_xlnm._FilterDatabase" localSheetId="2" hidden="1">'Employee"s_Data'!$B$2:$F$22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2" l="1"/>
  <c r="L13" i="3" a="1"/>
  <c r="L13" i="3"/>
  <c r="L12" i="3"/>
  <c r="O16" i="3"/>
  <c r="O17" i="3"/>
  <c r="O18" i="3"/>
  <c r="O15" i="3"/>
  <c r="O10" i="3"/>
  <c r="O11" i="3"/>
  <c r="O12" i="3"/>
  <c r="O9" i="3"/>
  <c r="O6" i="3"/>
  <c r="O5" i="3"/>
  <c r="O4" i="3"/>
  <c r="O3" i="3"/>
  <c r="L7" i="3"/>
  <c r="L4" i="3"/>
  <c r="N12" i="3"/>
  <c r="N11" i="3"/>
  <c r="N10" i="3"/>
  <c r="N9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U25" i="2"/>
  <c r="U26" i="2" a="1"/>
  <c r="U26" i="2"/>
  <c r="U20" i="2"/>
  <c r="U21" i="2" s="1"/>
  <c r="U17" i="2"/>
  <c r="U13" i="2"/>
  <c r="U12" i="2"/>
  <c r="U11" i="2"/>
  <c r="U10" i="2"/>
  <c r="U7" i="2"/>
  <c r="U6" i="2"/>
  <c r="U5" i="2"/>
  <c r="U4" i="2"/>
  <c r="Q29" i="2"/>
  <c r="Q28" i="2"/>
  <c r="Q27" i="2"/>
  <c r="Q26" i="2"/>
  <c r="Q25" i="2"/>
  <c r="Q22" i="2"/>
  <c r="R5" i="2"/>
  <c r="R6" i="2"/>
  <c r="R7" i="2"/>
  <c r="R8" i="2"/>
  <c r="R9" i="2"/>
  <c r="Q15" i="2"/>
  <c r="Q14" i="2"/>
  <c r="Q13" i="2"/>
  <c r="R15" i="2"/>
  <c r="R14" i="2"/>
  <c r="R1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K4" i="2"/>
  <c r="N4" i="2" s="1"/>
  <c r="K6" i="2"/>
  <c r="N6" i="2" s="1"/>
  <c r="K7" i="2"/>
  <c r="N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5" i="2"/>
  <c r="N5" i="2" s="1"/>
  <c r="N5" i="1"/>
  <c r="N6" i="1"/>
  <c r="N4" i="1"/>
  <c r="O25" i="1"/>
  <c r="O24" i="1"/>
  <c r="O23" i="1"/>
  <c r="M15" i="1"/>
  <c r="N1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O5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O6" i="1" s="1"/>
  <c r="F24" i="1"/>
  <c r="G24" i="1" s="1"/>
  <c r="F25" i="1"/>
  <c r="G25" i="1" s="1"/>
  <c r="F26" i="1"/>
  <c r="G26" i="1" s="1"/>
  <c r="F27" i="1"/>
  <c r="G27" i="1" s="1"/>
  <c r="H4" i="1"/>
  <c r="H5" i="1"/>
  <c r="H6" i="1"/>
  <c r="H7" i="1"/>
  <c r="H8" i="1"/>
  <c r="H9" i="1"/>
  <c r="H10" i="1"/>
  <c r="H11" i="1"/>
  <c r="H12" i="1"/>
  <c r="P5" i="1" s="1"/>
  <c r="H13" i="1"/>
  <c r="H14" i="1"/>
  <c r="H15" i="1"/>
  <c r="H16" i="1"/>
  <c r="H17" i="1"/>
  <c r="H18" i="1"/>
  <c r="H19" i="1"/>
  <c r="H20" i="1"/>
  <c r="H21" i="1"/>
  <c r="H22" i="1"/>
  <c r="H23" i="1"/>
  <c r="P6" i="1" s="1"/>
  <c r="H24" i="1"/>
  <c r="H25" i="1"/>
  <c r="H26" i="1"/>
  <c r="H27" i="1"/>
  <c r="M30" i="1" a="1"/>
  <c r="M30" i="1" s="1"/>
  <c r="H3" i="1"/>
  <c r="P4" i="1" s="1"/>
  <c r="L8" i="3" l="1"/>
  <c r="L9" i="3"/>
  <c r="R18" i="2"/>
  <c r="Q18" i="2"/>
  <c r="L5" i="2"/>
  <c r="M5" i="2"/>
  <c r="L23" i="2"/>
  <c r="M23" i="2"/>
  <c r="L22" i="2"/>
  <c r="M22" i="2"/>
  <c r="L21" i="2"/>
  <c r="M21" i="2"/>
  <c r="L20" i="2"/>
  <c r="M20" i="2"/>
  <c r="L19" i="2"/>
  <c r="M19" i="2"/>
  <c r="L18" i="2"/>
  <c r="M18" i="2"/>
  <c r="L17" i="2"/>
  <c r="M17" i="2"/>
  <c r="L16" i="2"/>
  <c r="M16" i="2"/>
  <c r="L15" i="2"/>
  <c r="M15" i="2"/>
  <c r="L14" i="2"/>
  <c r="M14" i="2"/>
  <c r="L13" i="2"/>
  <c r="M13" i="2"/>
  <c r="L12" i="2"/>
  <c r="M12" i="2"/>
  <c r="L11" i="2"/>
  <c r="M11" i="2"/>
  <c r="L10" i="2"/>
  <c r="M10" i="2"/>
  <c r="L9" i="2"/>
  <c r="M9" i="2"/>
  <c r="L8" i="2"/>
  <c r="M8" i="2"/>
  <c r="L7" i="2"/>
  <c r="M7" i="2"/>
  <c r="L6" i="2"/>
  <c r="M6" i="2"/>
  <c r="L4" i="2"/>
  <c r="M4" i="2"/>
  <c r="M20" i="1"/>
  <c r="O4" i="1"/>
  <c r="P10" i="1" a="1"/>
  <c r="P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<sst xmlns="http://schemas.openxmlformats.org/spreadsheetml/2006/main" count="244" uniqueCount="141">
  <si>
    <t>Student ID</t>
  </si>
  <si>
    <t>Student Name</t>
  </si>
  <si>
    <t>Maths</t>
  </si>
  <si>
    <t>Science</t>
  </si>
  <si>
    <t>English</t>
  </si>
  <si>
    <t>Total</t>
  </si>
  <si>
    <t>Percentage</t>
  </si>
  <si>
    <t>Grade</t>
  </si>
  <si>
    <t>Result</t>
  </si>
  <si>
    <t>Maths And Science Marks &gt; 80</t>
  </si>
  <si>
    <t>Maths Or English Marks &gt; 80</t>
  </si>
  <si>
    <t>VLOOKUP (MULTIPLE VALUES)</t>
  </si>
  <si>
    <t>Rahul Sharma</t>
  </si>
  <si>
    <t>Name</t>
  </si>
  <si>
    <t>Priya Patel</t>
  </si>
  <si>
    <t>Amit Mehta</t>
  </si>
  <si>
    <t>Neha Jain</t>
  </si>
  <si>
    <t>Karan Shah</t>
  </si>
  <si>
    <t>Anjali Verma</t>
  </si>
  <si>
    <t>VLOOKUP CELL</t>
  </si>
  <si>
    <t>FILTER</t>
  </si>
  <si>
    <t>Rohan Das</t>
  </si>
  <si>
    <t>TABLE1</t>
  </si>
  <si>
    <t>Students grades &gt; 80</t>
  </si>
  <si>
    <t>Sneha Iyer</t>
  </si>
  <si>
    <t>Arjun Singh</t>
  </si>
  <si>
    <t>Pooja Shah</t>
  </si>
  <si>
    <t>Vikram Patel</t>
  </si>
  <si>
    <t>COUNT IF /IFS</t>
  </si>
  <si>
    <t>Mera Patel</t>
  </si>
  <si>
    <t>Score &gt;50 (Math)</t>
  </si>
  <si>
    <t>Yash Gupta</t>
  </si>
  <si>
    <t>Kavita Joshi</t>
  </si>
  <si>
    <t>Aditya Roy</t>
  </si>
  <si>
    <t>Deepak Yadav</t>
  </si>
  <si>
    <t xml:space="preserve">AVERAGE IF </t>
  </si>
  <si>
    <t>Raj Malhotra</t>
  </si>
  <si>
    <t>Average Score &gt; 60</t>
  </si>
  <si>
    <t>Simran Kaur</t>
  </si>
  <si>
    <t>Nisha Kapoor</t>
  </si>
  <si>
    <t>Mohit Jain</t>
  </si>
  <si>
    <t>Maximum Marks In Different Subjects</t>
  </si>
  <si>
    <t>Riya Mehta</t>
  </si>
  <si>
    <t>Math</t>
  </si>
  <si>
    <t>Komal Shah</t>
  </si>
  <si>
    <t xml:space="preserve">Kuldeep Khandala </t>
  </si>
  <si>
    <t xml:space="preserve">Abhisek Kharadi </t>
  </si>
  <si>
    <t>Ekta Gohil</t>
  </si>
  <si>
    <t>Class Topper</t>
  </si>
  <si>
    <t>Sales ID</t>
  </si>
  <si>
    <t>Product</t>
  </si>
  <si>
    <t>Region</t>
  </si>
  <si>
    <t>Salesperson</t>
  </si>
  <si>
    <t>Amount</t>
  </si>
  <si>
    <t>Date</t>
  </si>
  <si>
    <t>Day</t>
  </si>
  <si>
    <t>Month</t>
  </si>
  <si>
    <t>Discount</t>
  </si>
  <si>
    <t>Discount Amount</t>
  </si>
  <si>
    <t>Round</t>
  </si>
  <si>
    <t>Ceiling</t>
  </si>
  <si>
    <t>Floor</t>
  </si>
  <si>
    <t>Product Price Table</t>
  </si>
  <si>
    <t>Total Sales of Regions and Keyboard Product</t>
  </si>
  <si>
    <t>Keyboard</t>
  </si>
  <si>
    <t>South</t>
  </si>
  <si>
    <t>Product Code</t>
  </si>
  <si>
    <t>Product Name</t>
  </si>
  <si>
    <t>Price</t>
  </si>
  <si>
    <t>East</t>
  </si>
  <si>
    <t>Printer</t>
  </si>
  <si>
    <t>West</t>
  </si>
  <si>
    <t xml:space="preserve">Priya </t>
  </si>
  <si>
    <t>North</t>
  </si>
  <si>
    <t>Mouse</t>
  </si>
  <si>
    <t>Amit</t>
  </si>
  <si>
    <t>Neha</t>
  </si>
  <si>
    <t>Karan</t>
  </si>
  <si>
    <t>Rahul</t>
  </si>
  <si>
    <t>Total sale by Region's</t>
  </si>
  <si>
    <t>Priya</t>
  </si>
  <si>
    <t>Retrieve Price by Code</t>
  </si>
  <si>
    <t>Product code</t>
  </si>
  <si>
    <t xml:space="preserve">Price </t>
  </si>
  <si>
    <t>Monitor</t>
  </si>
  <si>
    <t xml:space="preserve">VLOOKUP </t>
  </si>
  <si>
    <t>Laptop</t>
  </si>
  <si>
    <t>Text Left</t>
  </si>
  <si>
    <t>Upper Case</t>
  </si>
  <si>
    <t>Lower Case</t>
  </si>
  <si>
    <t>Product Price</t>
  </si>
  <si>
    <t>XLOOKUP</t>
  </si>
  <si>
    <t>INDEX MATCH</t>
  </si>
  <si>
    <t>Sales Person of Sales ID</t>
  </si>
  <si>
    <t xml:space="preserve">Product by Sales Person  </t>
  </si>
  <si>
    <t>Sales Person</t>
  </si>
  <si>
    <t>XMATCH ( POSITION OF PRODUCTS)</t>
  </si>
  <si>
    <t>OFFSET / INDIRECT</t>
  </si>
  <si>
    <t>Value 2 rows below B6</t>
  </si>
  <si>
    <t>Reference cell B6 via INDIRECT</t>
  </si>
  <si>
    <t>Employee ID</t>
  </si>
  <si>
    <t>Department</t>
  </si>
  <si>
    <t>Salary</t>
  </si>
  <si>
    <t>Joining Date</t>
  </si>
  <si>
    <t>Days Since Join</t>
  </si>
  <si>
    <t>Joining Month</t>
  </si>
  <si>
    <t>SUMIF (Department total salary)</t>
  </si>
  <si>
    <t>Total Salary</t>
  </si>
  <si>
    <t>Employee 1</t>
  </si>
  <si>
    <t>Finance</t>
  </si>
  <si>
    <t>Employee 2</t>
  </si>
  <si>
    <t>IT</t>
  </si>
  <si>
    <t>Employee 3</t>
  </si>
  <si>
    <t>HR</t>
  </si>
  <si>
    <t>Employee 4</t>
  </si>
  <si>
    <t xml:space="preserve">Employee ID </t>
  </si>
  <si>
    <t>Marketing</t>
  </si>
  <si>
    <t>Employee 5</t>
  </si>
  <si>
    <t xml:space="preserve"> Name</t>
  </si>
  <si>
    <t>Employee 6</t>
  </si>
  <si>
    <t>COUNIFS Department salary&gt;100000</t>
  </si>
  <si>
    <t>Count</t>
  </si>
  <si>
    <t>Employee 7</t>
  </si>
  <si>
    <t>Employee 8</t>
  </si>
  <si>
    <t>Employee 9</t>
  </si>
  <si>
    <t>OFFSET/INDIRECT</t>
  </si>
  <si>
    <t>Employee 10</t>
  </si>
  <si>
    <t xml:space="preserve">Value 1 row below </t>
  </si>
  <si>
    <t>Employee 11</t>
  </si>
  <si>
    <t>Reference Cell Via INDIRECT</t>
  </si>
  <si>
    <t>Employee 12</t>
  </si>
  <si>
    <t>Average Salary by Department</t>
  </si>
  <si>
    <t>Average Salary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</si>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</sst>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[$₹-4009]\ * #,##0_ ;_ [$₹-4009]\ * \-#,##0_ ;_ [$₹-4009]\ * &quot;-&quot;??_ ;_ @_ "/>
    <numFmt numFmtId="165" formatCode="[$₹-4009]\ #,##0.00"/>
    <numFmt numFmtId="166" formatCode="&quot;₹&quot;\ #,##0"/>
    <numFmt numFmtId="167" formatCode="0.00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"/>
      <family val="2"/>
    </font>
    <font>
      <b/>
      <sz val="12"/>
      <color theme="1"/>
      <name val="Aptos Narrow"/>
      <family val="2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charset val="1"/>
    </font>
    <font>
      <b/>
      <sz val="12"/>
      <color theme="1"/>
      <name val="Calibri"/>
      <charset val="1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2" fontId="0" fillId="0" borderId="1" xfId="0" applyNumberFormat="1" applyBorder="1"/>
    <xf numFmtId="2" fontId="0" fillId="0" borderId="8" xfId="0" applyNumberFormat="1" applyBorder="1"/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" fontId="3" fillId="5" borderId="1" xfId="0" applyNumberFormat="1" applyFont="1" applyFill="1" applyBorder="1" applyAlignment="1">
      <alignment horizontal="center" vertical="center" wrapText="1"/>
    </xf>
    <xf numFmtId="1" fontId="3" fillId="5" borderId="8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1" fontId="3" fillId="4" borderId="12" xfId="0" applyNumberFormat="1" applyFont="1" applyFill="1" applyBorder="1" applyAlignment="1">
      <alignment horizontal="center" vertical="center"/>
    </xf>
    <xf numFmtId="2" fontId="3" fillId="4" borderId="1" xfId="1" applyNumberFormat="1" applyFont="1" applyFill="1" applyBorder="1" applyAlignment="1">
      <alignment horizontal="center" vertical="center"/>
    </xf>
    <xf numFmtId="0" fontId="0" fillId="4" borderId="1" xfId="0" applyFill="1" applyBorder="1"/>
    <xf numFmtId="2" fontId="3" fillId="4" borderId="12" xfId="0" applyNumberFormat="1" applyFont="1" applyFill="1" applyBorder="1" applyAlignment="1">
      <alignment vertical="center"/>
    </xf>
    <xf numFmtId="0" fontId="4" fillId="4" borderId="1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1" fontId="2" fillId="3" borderId="1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4" xfId="0" applyFont="1" applyFill="1" applyBorder="1"/>
    <xf numFmtId="0" fontId="3" fillId="2" borderId="5" xfId="0" applyFont="1" applyFill="1" applyBorder="1"/>
    <xf numFmtId="2" fontId="3" fillId="2" borderId="5" xfId="0" applyNumberFormat="1" applyFont="1" applyFill="1" applyBorder="1"/>
    <xf numFmtId="0" fontId="3" fillId="2" borderId="6" xfId="0" applyFont="1" applyFill="1" applyBorder="1"/>
    <xf numFmtId="0" fontId="7" fillId="3" borderId="12" xfId="0" applyFont="1" applyFill="1" applyBorder="1" applyAlignment="1">
      <alignment horizontal="center" vertical="center" wrapText="1"/>
    </xf>
    <xf numFmtId="2" fontId="7" fillId="3" borderId="12" xfId="0" applyNumberFormat="1" applyFont="1" applyFill="1" applyBorder="1" applyAlignment="1">
      <alignment horizontal="center" vertical="center" wrapText="1"/>
    </xf>
    <xf numFmtId="1" fontId="3" fillId="4" borderId="12" xfId="0" applyNumberFormat="1" applyFont="1" applyFill="1" applyBorder="1" applyAlignment="1">
      <alignment horizontal="center" vertical="center" wrapText="1"/>
    </xf>
    <xf numFmtId="2" fontId="3" fillId="4" borderId="12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readingOrder="1"/>
    </xf>
    <xf numFmtId="164" fontId="8" fillId="0" borderId="1" xfId="0" applyNumberFormat="1" applyFont="1" applyBorder="1" applyAlignment="1">
      <alignment horizontal="left" readingOrder="1"/>
    </xf>
    <xf numFmtId="22" fontId="8" fillId="0" borderId="1" xfId="0" applyNumberFormat="1" applyFont="1" applyBorder="1" applyAlignment="1">
      <alignment readingOrder="1"/>
    </xf>
    <xf numFmtId="0" fontId="3" fillId="0" borderId="0" xfId="0" applyFont="1"/>
    <xf numFmtId="165" fontId="0" fillId="0" borderId="1" xfId="0" applyNumberFormat="1" applyBorder="1" applyAlignment="1">
      <alignment horizontal="center"/>
    </xf>
    <xf numFmtId="0" fontId="0" fillId="0" borderId="1" xfId="0" applyNumberFormat="1" applyBorder="1"/>
    <xf numFmtId="0" fontId="8" fillId="0" borderId="2" xfId="0" applyFont="1" applyBorder="1" applyAlignment="1">
      <alignment readingOrder="1"/>
    </xf>
    <xf numFmtId="0" fontId="0" fillId="0" borderId="3" xfId="0" applyBorder="1"/>
    <xf numFmtId="0" fontId="8" fillId="0" borderId="7" xfId="0" applyFont="1" applyBorder="1" applyAlignment="1">
      <alignment readingOrder="1"/>
    </xf>
    <xf numFmtId="0" fontId="8" fillId="0" borderId="8" xfId="0" applyFont="1" applyBorder="1" applyAlignment="1">
      <alignment readingOrder="1"/>
    </xf>
    <xf numFmtId="164" fontId="8" fillId="0" borderId="8" xfId="0" applyNumberFormat="1" applyFont="1" applyBorder="1" applyAlignment="1">
      <alignment horizontal="left" readingOrder="1"/>
    </xf>
    <xf numFmtId="22" fontId="8" fillId="0" borderId="8" xfId="0" applyNumberFormat="1" applyFont="1" applyBorder="1" applyAlignment="1">
      <alignment readingOrder="1"/>
    </xf>
    <xf numFmtId="165" fontId="0" fillId="0" borderId="8" xfId="0" applyNumberFormat="1" applyBorder="1" applyAlignment="1">
      <alignment horizontal="center"/>
    </xf>
    <xf numFmtId="0" fontId="0" fillId="0" borderId="8" xfId="0" applyNumberFormat="1" applyBorder="1"/>
    <xf numFmtId="0" fontId="0" fillId="0" borderId="9" xfId="0" applyBorder="1"/>
    <xf numFmtId="0" fontId="9" fillId="4" borderId="4" xfId="0" applyFont="1" applyFill="1" applyBorder="1" applyAlignment="1">
      <alignment readingOrder="1"/>
    </xf>
    <xf numFmtId="0" fontId="9" fillId="4" borderId="5" xfId="0" applyFont="1" applyFill="1" applyBorder="1" applyAlignment="1">
      <alignment readingOrder="1"/>
    </xf>
    <xf numFmtId="0" fontId="2" fillId="4" borderId="5" xfId="0" applyFont="1" applyFill="1" applyBorder="1"/>
    <xf numFmtId="0" fontId="2" fillId="4" borderId="6" xfId="0" applyFont="1" applyFill="1" applyBorder="1"/>
    <xf numFmtId="0" fontId="10" fillId="0" borderId="0" xfId="0" applyFont="1" applyAlignment="1">
      <alignment vertical="center"/>
    </xf>
    <xf numFmtId="0" fontId="10" fillId="7" borderId="12" xfId="0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/>
    </xf>
    <xf numFmtId="166" fontId="0" fillId="7" borderId="12" xfId="0" applyNumberFormat="1" applyFill="1" applyBorder="1" applyAlignment="1">
      <alignment horizontal="center" wrapText="1"/>
    </xf>
    <xf numFmtId="0" fontId="0" fillId="7" borderId="12" xfId="0" applyFill="1" applyBorder="1" applyAlignment="1">
      <alignment horizontal="center" vertical="center"/>
    </xf>
    <xf numFmtId="166" fontId="0" fillId="7" borderId="12" xfId="0" applyNumberForma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 wrapText="1"/>
    </xf>
    <xf numFmtId="0" fontId="8" fillId="0" borderId="5" xfId="0" applyFont="1" applyBorder="1" applyAlignment="1">
      <alignment readingOrder="1"/>
    </xf>
    <xf numFmtId="0" fontId="11" fillId="9" borderId="4" xfId="0" applyFont="1" applyFill="1" applyBorder="1" applyAlignment="1">
      <alignment readingOrder="1"/>
    </xf>
    <xf numFmtId="0" fontId="11" fillId="9" borderId="5" xfId="0" applyFont="1" applyFill="1" applyBorder="1" applyAlignment="1">
      <alignment readingOrder="1"/>
    </xf>
    <xf numFmtId="0" fontId="11" fillId="9" borderId="6" xfId="0" applyFont="1" applyFill="1" applyBorder="1" applyAlignment="1">
      <alignment readingOrder="1"/>
    </xf>
    <xf numFmtId="22" fontId="8" fillId="0" borderId="3" xfId="0" applyNumberFormat="1" applyFont="1" applyBorder="1" applyAlignment="1">
      <alignment readingOrder="1"/>
    </xf>
    <xf numFmtId="22" fontId="8" fillId="0" borderId="9" xfId="0" applyNumberFormat="1" applyFont="1" applyBorder="1" applyAlignment="1">
      <alignment readingOrder="1"/>
    </xf>
    <xf numFmtId="0" fontId="8" fillId="0" borderId="5" xfId="0" applyFont="1" applyBorder="1" applyAlignment="1">
      <alignment horizontal="center" readingOrder="1"/>
    </xf>
    <xf numFmtId="0" fontId="10" fillId="8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 wrapText="1"/>
    </xf>
    <xf numFmtId="167" fontId="0" fillId="11" borderId="12" xfId="0" applyNumberForma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1" fontId="2" fillId="6" borderId="10" xfId="0" applyNumberFormat="1" applyFont="1" applyFill="1" applyBorder="1" applyAlignment="1">
      <alignment horizontal="center" vertical="center"/>
    </xf>
    <xf numFmtId="1" fontId="2" fillId="6" borderId="13" xfId="0" applyNumberFormat="1" applyFont="1" applyFill="1" applyBorder="1" applyAlignment="1">
      <alignment horizontal="center" vertical="center"/>
    </xf>
    <xf numFmtId="1" fontId="2" fillId="6" borderId="11" xfId="0" applyNumberFormat="1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0" formatCode="General"/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0" formatCode="General"/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27" formatCode="m/d/yyyy\ h:mm"/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charset val="1"/>
        <scheme val="none"/>
      </font>
      <fill>
        <patternFill patternType="solid">
          <fgColor indexed="64"/>
          <bgColor theme="1" tint="4.9989318521683403E-2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5" formatCode="[$₹-4009]\ #,##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27" formatCode="m/d/yyyy\ h:mm"/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64" formatCode="_ [$₹-4009]\ * #,##0_ ;_ [$₹-4009]\ * \-#,##0_ ;_ [$₹-4009]\ * &quot;-&quot;??_ ;_ @_ "/>
      <alignment horizontal="left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5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</font>
      <numFmt numFmtId="1" formatCode="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family val="2"/>
      </font>
      <numFmt numFmtId="1" formatCode="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BC8F3-C0D2-4912-B27A-024CBC0C7C67}" name="Table1" displayName="Table1" ref="A2:K27" totalsRowShown="0" headerRowDxfId="58" headerRowBorderDxfId="56" tableBorderDxfId="57" totalsRowBorderDxfId="55">
  <autoFilter ref="A2:K27" xr:uid="{BFDBC8F3-C0D2-4912-B27A-024CBC0C7C67}"/>
  <tableColumns count="11">
    <tableColumn id="1" xr3:uid="{0D1B31CC-B97F-4D90-9674-8F21AAAE8193}" name="Student ID" dataDxfId="54">
      <calculatedColumnFormula array="1">_xlfn.SEQUENCE(24)</calculatedColumnFormula>
    </tableColumn>
    <tableColumn id="2" xr3:uid="{25BFA157-22E1-40A5-8161-38C70A986868}" name="Student Name" dataDxfId="53"/>
    <tableColumn id="3" xr3:uid="{FC48AB5A-7D6A-4CD5-8E2C-DFA299B1E4D4}" name="Maths" dataDxfId="52"/>
    <tableColumn id="4" xr3:uid="{0B4F213F-E23B-4EB6-A544-6E1310B744E6}" name="Science" dataDxfId="51"/>
    <tableColumn id="5" xr3:uid="{FC0C13B0-6F19-4A08-8AF2-6CF810EA1847}" name="English" dataDxfId="50"/>
    <tableColumn id="6" xr3:uid="{E335BC0B-CA77-48B2-8A12-FC932A0A65DF}" name="Total" dataDxfId="49">
      <calculatedColumnFormula>SUM(Table1[[#This Row],[Maths]]:Table1[[#This Row],[English]])</calculatedColumnFormula>
    </tableColumn>
    <tableColumn id="7" xr3:uid="{7EAC2CD2-827C-4B1A-B21E-09842E96DFBF}" name="Percentage" dataDxfId="48">
      <calculatedColumnFormula>(Table1[[#This Row],[Total]]/300)*100</calculatedColumnFormula>
    </tableColumn>
    <tableColumn id="8" xr3:uid="{630E1DE6-FD10-4D0A-9012-4719DE56BCBA}" name="Grade" dataDxfId="47">
      <calculatedColumnFormula>IF(Table1[[#This Row],[Percentage]]&gt;=90,"A",IF(Table1[[#This Row],[Percentage]]&gt;=75,"B",IF(Table1[[#This Row],[Percentage]]&gt;=60,"C","D")))</calculatedColumnFormula>
    </tableColumn>
    <tableColumn id="9" xr3:uid="{0379A8B7-38FC-4115-8155-9278A35E0B4E}" name="Result" dataDxfId="46">
      <calculatedColumnFormula>IF(Table1[[#This Row],[Maths]]&lt;35,"Fail",IF(Table1[[#This Row],[Science]]&lt;=35,"Fail",IF(Table1[[#This Row],[English]]&lt;=35,"Fail","Pass")))</calculatedColumnFormula>
    </tableColumn>
    <tableColumn id="10" xr3:uid="{5B7A02E1-F964-42D8-8B01-089F5173657E}" name="Maths And Science Marks &gt; 80" dataDxfId="45">
      <calculatedColumnFormula>IF(AND(Table1[[#This Row],[Maths]]&gt;80,Table1[[#This Row],[Science]]&gt;80),"Yes","No")</calculatedColumnFormula>
    </tableColumn>
    <tableColumn id="11" xr3:uid="{DE49F7F1-11BD-4F39-9617-1E1C7E6A8330}" name="Maths Or English Marks &gt; 80" dataDxfId="44">
      <calculatedColumnFormula>IF(OR(Table1[[#This Row],[Maths]]&gt;80,Table1[[#This Row],[English]]&gt;80),"Yes","No")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B458E7-68CA-43BC-AD9F-48929A4A4DFB}" name="Table2" displayName="Table2" ref="M14:M15" totalsRowShown="0" headerRowDxfId="43" dataDxfId="42" headerRowBorderDxfId="40" tableBorderDxfId="41" totalsRowBorderDxfId="39">
  <tableColumns count="1">
    <tableColumn id="1" xr3:uid="{992E719D-18F2-4173-87FA-2E4FB7FEF6C8}" name="Score &gt;50 (Math)" dataDxfId="38">
      <calculatedColumnFormula>COUNTIF(Table1[Maths],"&gt;50")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6D11D0-B87D-4B9C-A095-8A7538D06DD3}" name="Table3" displayName="Table3" ref="M3:P6" totalsRowShown="0" headerRowDxfId="37" dataDxfId="36" headerRowBorderDxfId="34" tableBorderDxfId="35" totalsRowBorderDxfId="33">
  <autoFilter ref="M3:P6" xr:uid="{576D11D0-B87D-4B9C-A095-8A7538D06DD3}"/>
  <tableColumns count="4">
    <tableColumn id="1" xr3:uid="{9BEF801F-800A-4B2E-970A-EBCF3BC99F0A}" name="Student ID" dataDxfId="32"/>
    <tableColumn id="2" xr3:uid="{1DBFB61E-E49A-4DD0-AC6D-EA2DB71333D9}" name="Name" dataDxfId="31">
      <calculatedColumnFormula>_xlfn.XLOOKUP(Table3[[#This Row],[Student ID]],A3:A27,B3:B27)</calculatedColumnFormula>
    </tableColumn>
    <tableColumn id="4" xr3:uid="{1B5DB366-B2DC-4550-B182-912DFB6CBD51}" name="Percentage" dataDxfId="30">
      <calculatedColumnFormula>_xlfn.XLOOKUP(Table3[[#This Row],[Student ID]],A3:A27,G3:G27 )</calculatedColumnFormula>
    </tableColumn>
    <tableColumn id="5" xr3:uid="{44F7A372-EC49-4070-A91C-7370408E90CC}" name="Grade" dataDxfId="29">
      <calculatedColumnFormula>_xlfn.XLOOKUP(Table3[[#This Row],[Student ID]],A3:A27,H3:H27)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4E299C-1178-47C7-A404-4E7C78131B88}" name="Table5" displayName="Table5" ref="B3:N23" totalsRowShown="0" headerRowDxfId="28" headerRowBorderDxfId="26" tableBorderDxfId="27" totalsRowBorderDxfId="25">
  <autoFilter ref="B3:N23" xr:uid="{BE4E299C-1178-47C7-A404-4E7C78131B88}"/>
  <tableColumns count="13">
    <tableColumn id="1" xr3:uid="{765D8E06-692E-4D50-867A-222940D71106}" name="Sales ID" dataDxfId="24"/>
    <tableColumn id="2" xr3:uid="{566592F6-3015-417D-A340-84878D47FFB6}" name="Product" dataDxfId="23"/>
    <tableColumn id="3" xr3:uid="{17EE968F-29F3-405E-AFA5-4F983E73D35F}" name="Region" dataDxfId="22"/>
    <tableColumn id="4" xr3:uid="{B64A0B2C-9CF2-4A49-B01B-E857B0961BA3}" name="Salesperson" dataDxfId="21"/>
    <tableColumn id="5" xr3:uid="{AFA68170-524A-4982-9A42-A4596003E615}" name="Amount" dataDxfId="20"/>
    <tableColumn id="6" xr3:uid="{A5433538-48AF-4C22-800A-3F743E7DEA2E}" name="Date" dataDxfId="19"/>
    <tableColumn id="7" xr3:uid="{F77EEA51-243D-44DB-B712-BAEB907FCACE}" name="Day" dataDxfId="18">
      <calculatedColumnFormula>TEXT(Table5[[#This Row],[Date]],"DDD")</calculatedColumnFormula>
    </tableColumn>
    <tableColumn id="8" xr3:uid="{2CD8B112-AAAE-4B33-9A7C-006EFB0342D9}" name="Month" dataDxfId="17">
      <calculatedColumnFormula>TEXT(Table5[[#This Row],[Date]],"MMM")</calculatedColumnFormula>
    </tableColumn>
    <tableColumn id="9" xr3:uid="{8502CED2-F441-4336-AEEA-25DA2A12EDF8}" name="Discount" dataDxfId="16">
      <calculatedColumnFormula>IF(Table5[[#This Row],[Amount]]&gt;=40000,"15% OFF",IF(Table5[[#This Row],[Amount]]&gt;=30000,"10% OFF","Non Reduced"))</calculatedColumnFormula>
    </tableColumn>
    <tableColumn id="10" xr3:uid="{C135D71C-8FC4-4D4F-88DA-9040D5399125}" name="Discount Amount" dataDxfId="15">
      <calculatedColumnFormula>IF(J3="15% OFF", F3*15%,IF(J3="10% OFF",F3*10%,0))</calculatedColumnFormula>
    </tableColumn>
    <tableColumn id="11" xr3:uid="{694E5776-8BB3-4807-9510-471CD450FEF7}" name="Round" dataDxfId="14">
      <calculatedColumnFormula>ROUND(Table5[[#This Row],[Discount Amount]],0)</calculatedColumnFormula>
    </tableColumn>
    <tableColumn id="12" xr3:uid="{6C8C843B-8EC6-4F21-9B8A-06BFBA8EFB0B}" name="Ceiling" dataDxfId="13">
      <calculatedColumnFormula>CEILING(Table5[[#This Row],[Discount Amount]],100)</calculatedColumnFormula>
    </tableColumn>
    <tableColumn id="13" xr3:uid="{CA5D9003-969F-4C94-BC6A-F1F63026EA2A}" name="Floor" dataDxfId="12">
      <calculatedColumnFormula>FLOOR(Table5[[#This Row],[Discount Amount]],100)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95C207-EF1F-4013-AB37-BE3DAC88619B}" name="Table6" displayName="Table6" ref="B2:H22" totalsRowShown="0" headerRowDxfId="11" dataDxfId="10" headerRowBorderDxfId="8" tableBorderDxfId="9" totalsRowBorderDxfId="7">
  <autoFilter ref="B2:H22" xr:uid="{9995C207-EF1F-4013-AB37-BE3DAC88619B}"/>
  <tableColumns count="7">
    <tableColumn id="1" xr3:uid="{ABD3705B-B5C6-48CA-94CC-79481661F96C}" name="Employee ID" dataDxfId="6"/>
    <tableColumn id="2" xr3:uid="{5E3810CB-B48C-46C2-8903-14775FFEC2B9}" name="Name" dataDxfId="5"/>
    <tableColumn id="3" xr3:uid="{D6B0C85B-3690-414A-93E5-A286599EC74C}" name="Department" dataDxfId="4"/>
    <tableColumn id="4" xr3:uid="{95928F5D-B295-4601-A124-AF4F261B3F08}" name="Salary" dataDxfId="3"/>
    <tableColumn id="5" xr3:uid="{06E200C6-8041-40F4-B020-029E83B928C7}" name="Joining Date" dataDxfId="2"/>
    <tableColumn id="7" xr3:uid="{646EAECD-6AB8-48B9-A463-FBF137AB0025}" name="Days Since Join" dataDxfId="1">
      <calculatedColumnFormula>IF(F3&lt;=TODAY(),(TODAY()-F3), "Not Joined Yet")</calculatedColumnFormula>
    </tableColumn>
    <tableColumn id="8" xr3:uid="{E995536C-1A35-4CF5-983E-938049836AC6}" name="Joining Month" dataDxfId="0">
      <calculatedColumnFormula>TEXT(Table6[[#This Row],[Joining Date]],"MMMM")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A1:Q30"/>
  <sheetViews>
    <sheetView tabSelected="1" topLeftCell="K1" workbookViewId="0">
      <selection activeCell="O16" sqref="O16"/>
    </sheetView>
  </sheetViews>
  <sheetFormatPr defaultRowHeight="15"/>
  <cols>
    <col min="1" max="1" width="12.42578125" bestFit="1" customWidth="1"/>
    <col min="2" max="2" width="16.7109375" bestFit="1" customWidth="1"/>
    <col min="3" max="3" width="8.5703125" customWidth="1"/>
    <col min="4" max="4" width="10" customWidth="1"/>
    <col min="5" max="5" width="9.5703125" bestFit="1" customWidth="1"/>
    <col min="6" max="6" width="8.28515625" customWidth="1"/>
    <col min="7" max="7" width="12.28515625" customWidth="1"/>
    <col min="10" max="10" width="29.5703125" customWidth="1"/>
    <col min="11" max="11" width="27.42578125" customWidth="1"/>
    <col min="12" max="12" width="7.28515625" customWidth="1"/>
    <col min="13" max="13" width="18.5703125" customWidth="1"/>
    <col min="14" max="14" width="16.7109375" customWidth="1"/>
    <col min="15" max="15" width="15.28515625" customWidth="1"/>
    <col min="16" max="16" width="13.85546875" customWidth="1"/>
    <col min="17" max="17" width="16.85546875" customWidth="1"/>
  </cols>
  <sheetData>
    <row r="1" spans="1:17" ht="15" customHeight="1"/>
    <row r="2" spans="1:17" ht="19.5" customHeight="1">
      <c r="A2" s="27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9" t="s">
        <v>6</v>
      </c>
      <c r="H2" s="28" t="s">
        <v>7</v>
      </c>
      <c r="I2" s="28" t="s">
        <v>8</v>
      </c>
      <c r="J2" s="28" t="s">
        <v>9</v>
      </c>
      <c r="K2" s="30" t="s">
        <v>10</v>
      </c>
      <c r="M2" s="86" t="s">
        <v>11</v>
      </c>
      <c r="N2" s="87"/>
      <c r="O2" s="87"/>
      <c r="P2" s="88"/>
    </row>
    <row r="3" spans="1:17" ht="21.75" customHeight="1">
      <c r="A3" s="2">
        <v>1</v>
      </c>
      <c r="B3" s="1" t="s">
        <v>12</v>
      </c>
      <c r="C3" s="1">
        <v>85</v>
      </c>
      <c r="D3" s="1">
        <v>78</v>
      </c>
      <c r="E3" s="1">
        <v>90</v>
      </c>
      <c r="F3" s="1">
        <f ca="1">SUM(Table1[[#This Row],[Maths]]:Table1[[#This Row],[English]])</f>
        <v>253</v>
      </c>
      <c r="G3" s="5">
        <f ca="1">(Table1[[#This Row],[Total]]/300)*100</f>
        <v>84.333333333333343</v>
      </c>
      <c r="H3" s="1" t="str">
        <f ca="1">IF(Table1[[#This Row],[Percentage]]&gt;=90,"A",IF(Table1[[#This Row],[Percentage]]&gt;=75,"B",IF(Table1[[#This Row],[Percentage]]&gt;=60,"C","D")))</f>
        <v>B</v>
      </c>
      <c r="I3" s="1" t="str">
        <f>IF(Table1[[#This Row],[Maths]]&lt;35,"Fail",IF(Table1[[#This Row],[Science]]&lt;=35,"Fail",IF(Table1[[#This Row],[English]]&lt;=35,"Fail","Pass")))</f>
        <v>Pass</v>
      </c>
      <c r="J3" s="9" t="str">
        <f>IF(AND(Table1[[#This Row],[Maths]]&gt;80,Table1[[#This Row],[Science]]&gt;80),"Yes","No")</f>
        <v>No</v>
      </c>
      <c r="K3" s="7" t="str">
        <f>IF(OR(Table1[[#This Row],[Maths]]&gt;80,Table1[[#This Row],[English]]&gt;80),"Yes","No")</f>
        <v>Yes</v>
      </c>
      <c r="M3" s="31" t="s">
        <v>0</v>
      </c>
      <c r="N3" s="31" t="s">
        <v>13</v>
      </c>
      <c r="O3" s="32" t="s">
        <v>6</v>
      </c>
      <c r="P3" s="31" t="s">
        <v>7</v>
      </c>
    </row>
    <row r="4" spans="1:17" ht="21.75" customHeight="1">
      <c r="A4" s="2">
        <v>2</v>
      </c>
      <c r="B4" s="1" t="s">
        <v>14</v>
      </c>
      <c r="C4" s="1">
        <v>70</v>
      </c>
      <c r="D4" s="1">
        <v>72</v>
      </c>
      <c r="E4" s="1">
        <v>65</v>
      </c>
      <c r="F4" s="1">
        <f ca="1">SUM(Table1[[#This Row],[Maths]]:Table1[[#This Row],[English]])</f>
        <v>207</v>
      </c>
      <c r="G4" s="5">
        <f ca="1">(Table1[[#This Row],[Total]]/300)*100</f>
        <v>69</v>
      </c>
      <c r="H4" s="1" t="str">
        <f ca="1">IF(Table1[[#This Row],[Percentage]]&gt;=90,"A",IF(Table1[[#This Row],[Percentage]]&gt;=75,"B",IF(Table1[[#This Row],[Percentage]]&gt;=60,"C","D")))</f>
        <v>C</v>
      </c>
      <c r="I4" s="1" t="str">
        <f>IF(Table1[[#This Row],[Maths]]&lt;35,"Fail",IF(Table1[[#This Row],[Science]]&lt;=35,"Fail",IF(Table1[[#This Row],[English]]&lt;=35,"Fail","Pass")))</f>
        <v>Pass</v>
      </c>
      <c r="J4" s="9" t="str">
        <f>IF(AND(Table1[[#This Row],[Maths]]&gt;80,Table1[[#This Row],[Science]]&gt;80),"Yes","No")</f>
        <v>No</v>
      </c>
      <c r="K4" s="7" t="str">
        <f>IF(OR(Table1[[#This Row],[Maths]]&gt;80,Table1[[#This Row],[English]]&gt;80),"Yes","No")</f>
        <v>No</v>
      </c>
      <c r="M4" s="18">
        <v>1</v>
      </c>
      <c r="N4" s="33" t="str">
        <f>_xlfn.XLOOKUP(Table3[[#This Row],[Student ID]],A3:A27,B3:B27)</f>
        <v>Rahul Sharma</v>
      </c>
      <c r="O4" s="34">
        <f ca="1">_xlfn.XLOOKUP(Table3[[#This Row],[Student ID]],A3:A27,G3:G27 )</f>
        <v>84.333333333333343</v>
      </c>
      <c r="P4" s="18" t="str">
        <f ca="1">_xlfn.XLOOKUP(Table3[[#This Row],[Student ID]],A3:A27,H3:H27)</f>
        <v>B</v>
      </c>
    </row>
    <row r="5" spans="1:17" ht="15.75">
      <c r="A5" s="2">
        <v>3</v>
      </c>
      <c r="B5" s="1" t="s">
        <v>15</v>
      </c>
      <c r="C5" s="1">
        <v>95</v>
      </c>
      <c r="D5" s="1">
        <v>88</v>
      </c>
      <c r="E5" s="1">
        <v>92</v>
      </c>
      <c r="F5" s="1">
        <f ca="1">SUM(Table1[[#This Row],[Maths]]:Table1[[#This Row],[English]])</f>
        <v>275</v>
      </c>
      <c r="G5" s="5">
        <f ca="1">(Table1[[#This Row],[Total]]/300)*100</f>
        <v>91.666666666666657</v>
      </c>
      <c r="H5" s="1" t="str">
        <f ca="1">IF(Table1[[#This Row],[Percentage]]&gt;=90,"A",IF(Table1[[#This Row],[Percentage]]&gt;=75,"B",IF(Table1[[#This Row],[Percentage]]&gt;=60,"C","D")))</f>
        <v>A</v>
      </c>
      <c r="I5" s="1" t="str">
        <f>IF(Table1[[#This Row],[Maths]]&lt;35,"Fail",IF(Table1[[#This Row],[Science]]&lt;=35,"Fail",IF(Table1[[#This Row],[English]]&lt;=35,"Fail","Pass")))</f>
        <v>Pass</v>
      </c>
      <c r="J5" s="9" t="str">
        <f>IF(AND(Table1[[#This Row],[Maths]]&gt;80,Table1[[#This Row],[Science]]&gt;80),"Yes","No")</f>
        <v>Yes</v>
      </c>
      <c r="K5" s="7" t="str">
        <f>IF(OR(Table1[[#This Row],[Maths]]&gt;80,Table1[[#This Row],[English]]&gt;80),"Yes","No")</f>
        <v>Yes</v>
      </c>
      <c r="M5" s="18">
        <v>10</v>
      </c>
      <c r="N5" s="33" t="str">
        <f>_xlfn.XLOOKUP(Table3[[#This Row],[Student ID]],A4:A28,B4:B28)</f>
        <v>Pooja Shah</v>
      </c>
      <c r="O5" s="34">
        <f ca="1">_xlfn.XLOOKUP(Table3[[#This Row],[Student ID]],A4:A28,G4:G28 )</f>
        <v>73.333333333333329</v>
      </c>
      <c r="P5" s="18" t="str">
        <f ca="1">_xlfn.XLOOKUP(Table3[[#This Row],[Student ID]],A4:A28,H4:H28)</f>
        <v>C</v>
      </c>
    </row>
    <row r="6" spans="1:17" ht="15.75">
      <c r="A6" s="2">
        <v>4</v>
      </c>
      <c r="B6" s="1" t="s">
        <v>16</v>
      </c>
      <c r="C6" s="1">
        <v>34</v>
      </c>
      <c r="D6" s="1">
        <v>58</v>
      </c>
      <c r="E6" s="1">
        <v>60</v>
      </c>
      <c r="F6" s="1">
        <f ca="1">SUM(Table1[[#This Row],[Maths]]:Table1[[#This Row],[English]])</f>
        <v>152</v>
      </c>
      <c r="G6" s="5">
        <f ca="1">(Table1[[#This Row],[Total]]/300)*100</f>
        <v>50.666666666666671</v>
      </c>
      <c r="H6" s="1" t="str">
        <f ca="1">IF(Table1[[#This Row],[Percentage]]&gt;=90,"A",IF(Table1[[#This Row],[Percentage]]&gt;=75,"B",IF(Table1[[#This Row],[Percentage]]&gt;=60,"C","D")))</f>
        <v>D</v>
      </c>
      <c r="I6" s="1" t="str">
        <f>IF(Table1[[#This Row],[Maths]]&lt;35,"Fail",IF(Table1[[#This Row],[Science]]&lt;=35,"Fail",IF(Table1[[#This Row],[English]]&lt;=35,"Fail","Pass")))</f>
        <v>Fail</v>
      </c>
      <c r="J6" s="9" t="str">
        <f>IF(AND(Table1[[#This Row],[Maths]]&gt;80,Table1[[#This Row],[Science]]&gt;80),"Yes","No")</f>
        <v>No</v>
      </c>
      <c r="K6" s="7" t="str">
        <f>IF(OR(Table1[[#This Row],[Maths]]&gt;80,Table1[[#This Row],[English]]&gt;80),"Yes","No")</f>
        <v>No</v>
      </c>
      <c r="M6" s="18">
        <v>21</v>
      </c>
      <c r="N6" s="33" t="str">
        <f>_xlfn.XLOOKUP(Table3[[#This Row],[Student ID]],A5:A29,B5:B29)</f>
        <v>Riya Mehta</v>
      </c>
      <c r="O6" s="34">
        <f ca="1">_xlfn.XLOOKUP(Table3[[#This Row],[Student ID]],A5:A29,G5:G29 )</f>
        <v>88</v>
      </c>
      <c r="P6" s="18" t="str">
        <f ca="1">_xlfn.XLOOKUP(Table3[[#This Row],[Student ID]],A5:A29,H5:H29)</f>
        <v>B</v>
      </c>
    </row>
    <row r="7" spans="1:17">
      <c r="A7" s="2">
        <v>5</v>
      </c>
      <c r="B7" s="1" t="s">
        <v>17</v>
      </c>
      <c r="C7" s="1">
        <v>88</v>
      </c>
      <c r="D7" s="1">
        <v>80</v>
      </c>
      <c r="E7" s="1">
        <v>84</v>
      </c>
      <c r="F7" s="1">
        <f ca="1">SUM(Table1[[#This Row],[Maths]]:Table1[[#This Row],[English]])</f>
        <v>252</v>
      </c>
      <c r="G7" s="5">
        <f ca="1">(Table1[[#This Row],[Total]]/300)*100</f>
        <v>84</v>
      </c>
      <c r="H7" s="1" t="str">
        <f ca="1">IF(Table1[[#This Row],[Percentage]]&gt;=90,"A",IF(Table1[[#This Row],[Percentage]]&gt;=75,"B",IF(Table1[[#This Row],[Percentage]]&gt;=60,"C","D")))</f>
        <v>B</v>
      </c>
      <c r="I7" s="1" t="str">
        <f>IF(Table1[[#This Row],[Maths]]&lt;35,"Fail",IF(Table1[[#This Row],[Science]]&lt;=35,"Fail",IF(Table1[[#This Row],[English]]&lt;=35,"Fail","Pass")))</f>
        <v>Pass</v>
      </c>
      <c r="J7" s="9" t="str">
        <f>IF(AND(Table1[[#This Row],[Maths]]&gt;80,Table1[[#This Row],[Science]]&gt;80),"Yes","No")</f>
        <v>No</v>
      </c>
      <c r="K7" s="7" t="str">
        <f>IF(OR(Table1[[#This Row],[Maths]]&gt;80,Table1[[#This Row],[English]]&gt;80),"Yes","No")</f>
        <v>Yes</v>
      </c>
    </row>
    <row r="8" spans="1:17" ht="15.75">
      <c r="A8" s="2">
        <v>6</v>
      </c>
      <c r="B8" s="1" t="s">
        <v>18</v>
      </c>
      <c r="C8" s="1">
        <v>76</v>
      </c>
      <c r="D8" s="1">
        <v>79</v>
      </c>
      <c r="E8" s="1">
        <v>81</v>
      </c>
      <c r="F8" s="1">
        <f ca="1">SUM(Table1[[#This Row],[Maths]]:Table1[[#This Row],[English]])</f>
        <v>236</v>
      </c>
      <c r="G8" s="5">
        <f ca="1">(Table1[[#This Row],[Total]]/300)*100</f>
        <v>78.666666666666657</v>
      </c>
      <c r="H8" s="1" t="str">
        <f ca="1">IF(Table1[[#This Row],[Percentage]]&gt;=90,"A",IF(Table1[[#This Row],[Percentage]]&gt;=75,"B",IF(Table1[[#This Row],[Percentage]]&gt;=60,"C","D")))</f>
        <v>B</v>
      </c>
      <c r="I8" s="1" t="str">
        <f>IF(Table1[[#This Row],[Maths]]&lt;35,"Fail",IF(Table1[[#This Row],[Science]]&lt;=35,"Fail",IF(Table1[[#This Row],[English]]&lt;=35,"Fail","Pass")))</f>
        <v>Pass</v>
      </c>
      <c r="J8" s="9" t="str">
        <f>IF(AND(Table1[[#This Row],[Maths]]&gt;80,Table1[[#This Row],[Science]]&gt;80),"Yes","No")</f>
        <v>No</v>
      </c>
      <c r="K8" s="7" t="str">
        <f>IF(OR(Table1[[#This Row],[Maths]]&gt;80,Table1[[#This Row],[English]]&gt;80),"Yes","No")</f>
        <v>Yes</v>
      </c>
      <c r="M8" s="79" t="s">
        <v>19</v>
      </c>
      <c r="N8" s="80"/>
      <c r="P8" s="83" t="s">
        <v>20</v>
      </c>
      <c r="Q8" s="83"/>
    </row>
    <row r="9" spans="1:17" ht="15.75">
      <c r="A9" s="2">
        <v>7</v>
      </c>
      <c r="B9" s="1" t="s">
        <v>21</v>
      </c>
      <c r="C9" s="1">
        <v>62</v>
      </c>
      <c r="D9" s="1">
        <v>65</v>
      </c>
      <c r="E9" s="1">
        <v>58</v>
      </c>
      <c r="F9" s="1">
        <f ca="1">SUM(Table1[[#This Row],[Maths]]:Table1[[#This Row],[English]])</f>
        <v>185</v>
      </c>
      <c r="G9" s="5">
        <f ca="1">(Table1[[#This Row],[Total]]/300)*100</f>
        <v>61.666666666666671</v>
      </c>
      <c r="H9" s="1" t="str">
        <f ca="1">IF(Table1[[#This Row],[Percentage]]&gt;=90,"A",IF(Table1[[#This Row],[Percentage]]&gt;=75,"B",IF(Table1[[#This Row],[Percentage]]&gt;=60,"C","D")))</f>
        <v>C</v>
      </c>
      <c r="I9" s="1" t="str">
        <f>IF(Table1[[#This Row],[Maths]]&lt;35,"Fail",IF(Table1[[#This Row],[Science]]&lt;=35,"Fail",IF(Table1[[#This Row],[English]]&lt;=35,"Fail","Pass")))</f>
        <v>Pass</v>
      </c>
      <c r="J9" s="9" t="str">
        <f>IF(AND(Table1[[#This Row],[Maths]]&gt;80,Table1[[#This Row],[Science]]&gt;80),"Yes","No")</f>
        <v>No</v>
      </c>
      <c r="K9" s="7" t="str">
        <f>IF(OR(Table1[[#This Row],[Maths]]&gt;80,Table1[[#This Row],[English]]&gt;80),"Yes","No")</f>
        <v>No</v>
      </c>
      <c r="M9" s="81" t="s">
        <v>22</v>
      </c>
      <c r="N9" s="82"/>
      <c r="P9" s="84" t="s">
        <v>23</v>
      </c>
      <c r="Q9" s="84"/>
    </row>
    <row r="10" spans="1:17" ht="18" customHeight="1">
      <c r="A10" s="2">
        <v>8</v>
      </c>
      <c r="B10" s="1" t="s">
        <v>24</v>
      </c>
      <c r="C10" s="1">
        <v>91</v>
      </c>
      <c r="D10" s="1">
        <v>94</v>
      </c>
      <c r="E10" s="1">
        <v>89</v>
      </c>
      <c r="F10" s="1">
        <f ca="1">SUM(Table1[[#This Row],[Maths]]:Table1[[#This Row],[English]])</f>
        <v>274</v>
      </c>
      <c r="G10" s="5">
        <f ca="1">(Table1[[#This Row],[Total]]/300)*100</f>
        <v>91.333333333333329</v>
      </c>
      <c r="H10" s="1" t="str">
        <f ca="1">IF(Table1[[#This Row],[Percentage]]&gt;=90,"A",IF(Table1[[#This Row],[Percentage]]&gt;=75,"B",IF(Table1[[#This Row],[Percentage]]&gt;=60,"C","D")))</f>
        <v>A</v>
      </c>
      <c r="I10" s="1" t="str">
        <f>IF(Table1[[#This Row],[Maths]]&lt;35,"Fail",IF(Table1[[#This Row],[Science]]&lt;=35,"Fail",IF(Table1[[#This Row],[English]]&lt;=35,"Fail","Pass")))</f>
        <v>Pass</v>
      </c>
      <c r="J10" s="9" t="str">
        <f>IF(AND(Table1[[#This Row],[Maths]]&gt;80,Table1[[#This Row],[Science]]&gt;80),"Yes","No")</f>
        <v>Yes</v>
      </c>
      <c r="K10" s="7" t="str">
        <f>IF(OR(Table1[[#This Row],[Maths]]&gt;80,Table1[[#This Row],[English]]&gt;80),"Yes","No")</f>
        <v>Yes</v>
      </c>
      <c r="M10" s="22" t="s">
        <v>0</v>
      </c>
      <c r="N10" s="70">
        <v>5</v>
      </c>
      <c r="P10" s="11" cm="1">
        <f t="array" aca="1" ref="P10:Q20" ca="1">_xlfn._xlws.FILTER(A3:B27,G3:G27&gt;80)</f>
        <v>1</v>
      </c>
      <c r="Q10" s="13" t="str">
        <f ca="1"/>
        <v>Rahul Sharma</v>
      </c>
    </row>
    <row r="11" spans="1:17" ht="16.5" customHeight="1">
      <c r="A11" s="2">
        <v>9</v>
      </c>
      <c r="B11" s="1" t="s">
        <v>25</v>
      </c>
      <c r="C11" s="1">
        <v>45</v>
      </c>
      <c r="D11" s="1">
        <v>28</v>
      </c>
      <c r="E11" s="1">
        <v>50</v>
      </c>
      <c r="F11" s="1">
        <f ca="1">SUM(Table1[[#This Row],[Maths]]:Table1[[#This Row],[English]])</f>
        <v>123</v>
      </c>
      <c r="G11" s="5">
        <f ca="1">(Table1[[#This Row],[Total]]/300)*100</f>
        <v>41</v>
      </c>
      <c r="H11" s="1" t="str">
        <f ca="1">IF(Table1[[#This Row],[Percentage]]&gt;=90,"A",IF(Table1[[#This Row],[Percentage]]&gt;=75,"B",IF(Table1[[#This Row],[Percentage]]&gt;=60,"C","D")))</f>
        <v>D</v>
      </c>
      <c r="I11" s="1" t="str">
        <f>IF(Table1[[#This Row],[Maths]]&lt;35,"Fail",IF(Table1[[#This Row],[Science]]&lt;=35,"Fail",IF(Table1[[#This Row],[English]]&lt;=35,"Fail","Pass")))</f>
        <v>Fail</v>
      </c>
      <c r="J11" s="9" t="str">
        <f>IF(AND(Table1[[#This Row],[Maths]]&gt;80,Table1[[#This Row],[Science]]&gt;80),"Yes","No")</f>
        <v>No</v>
      </c>
      <c r="K11" s="7" t="str">
        <f>IF(OR(Table1[[#This Row],[Maths]]&gt;80,Table1[[#This Row],[English]]&gt;80),"Yes","No")</f>
        <v>No</v>
      </c>
      <c r="M11" s="23" t="s">
        <v>13</v>
      </c>
      <c r="N11" s="70" t="str">
        <f>VLOOKUP(N10,Table1[[Student ID]:[Student Name]],2,FALSE)</f>
        <v>Karan Shah</v>
      </c>
      <c r="P11" s="12">
        <f ca="1"/>
        <v>3</v>
      </c>
      <c r="Q11" s="14" t="str">
        <f ca="1"/>
        <v>Amit Mehta</v>
      </c>
    </row>
    <row r="12" spans="1:17">
      <c r="A12" s="2">
        <v>10</v>
      </c>
      <c r="B12" s="1" t="s">
        <v>26</v>
      </c>
      <c r="C12" s="1">
        <v>77</v>
      </c>
      <c r="D12" s="1">
        <v>70</v>
      </c>
      <c r="E12" s="1">
        <v>73</v>
      </c>
      <c r="F12" s="1">
        <f ca="1">SUM(Table1[[#This Row],[Maths]]:Table1[[#This Row],[English]])</f>
        <v>220</v>
      </c>
      <c r="G12" s="5">
        <f ca="1">(Table1[[#This Row],[Total]]/300)*100</f>
        <v>73.333333333333329</v>
      </c>
      <c r="H12" s="1" t="str">
        <f ca="1">IF(Table1[[#This Row],[Percentage]]&gt;=90,"A",IF(Table1[[#This Row],[Percentage]]&gt;=75,"B",IF(Table1[[#This Row],[Percentage]]&gt;=60,"C","D")))</f>
        <v>C</v>
      </c>
      <c r="I12" s="1" t="str">
        <f>IF(Table1[[#This Row],[Maths]]&lt;35,"Fail",IF(Table1[[#This Row],[Science]]&lt;=35,"Fail",IF(Table1[[#This Row],[English]]&lt;=35,"Fail","Pass")))</f>
        <v>Pass</v>
      </c>
      <c r="J12" s="9" t="str">
        <f>IF(AND(Table1[[#This Row],[Maths]]&gt;80,Table1[[#This Row],[Science]]&gt;80),"Yes","No")</f>
        <v>No</v>
      </c>
      <c r="K12" s="7" t="str">
        <f>IF(OR(Table1[[#This Row],[Maths]]&gt;80,Table1[[#This Row],[English]]&gt;80),"Yes","No")</f>
        <v>No</v>
      </c>
      <c r="P12" s="16">
        <f ca="1"/>
        <v>5</v>
      </c>
      <c r="Q12" s="15" t="str">
        <f ca="1"/>
        <v>Karan Shah</v>
      </c>
    </row>
    <row r="13" spans="1:17" ht="15.75">
      <c r="A13" s="2">
        <v>11</v>
      </c>
      <c r="B13" s="1" t="s">
        <v>27</v>
      </c>
      <c r="C13" s="1">
        <v>83</v>
      </c>
      <c r="D13" s="1">
        <v>82</v>
      </c>
      <c r="E13" s="1">
        <v>85</v>
      </c>
      <c r="F13" s="1">
        <f ca="1">SUM(Table1[[#This Row],[Maths]]:Table1[[#This Row],[English]])</f>
        <v>250</v>
      </c>
      <c r="G13" s="5">
        <f ca="1">(Table1[[#This Row],[Total]]/300)*100</f>
        <v>83.333333333333343</v>
      </c>
      <c r="H13" s="1" t="str">
        <f ca="1">IF(Table1[[#This Row],[Percentage]]&gt;=90,"A",IF(Table1[[#This Row],[Percentage]]&gt;=75,"B",IF(Table1[[#This Row],[Percentage]]&gt;=60,"C","D")))</f>
        <v>B</v>
      </c>
      <c r="I13" s="1" t="str">
        <f>IF(Table1[[#This Row],[Maths]]&lt;35,"Fail",IF(Table1[[#This Row],[Science]]&lt;=35,"Fail",IF(Table1[[#This Row],[English]]&lt;=35,"Fail","Pass")))</f>
        <v>Pass</v>
      </c>
      <c r="J13" s="9" t="str">
        <f>IF(AND(Table1[[#This Row],[Maths]]&gt;80,Table1[[#This Row],[Science]]&gt;80),"Yes","No")</f>
        <v>Yes</v>
      </c>
      <c r="K13" s="7" t="str">
        <f>IF(OR(Table1[[#This Row],[Maths]]&gt;80,Table1[[#This Row],[English]]&gt;80),"Yes","No")</f>
        <v>Yes</v>
      </c>
      <c r="M13" s="69" t="s">
        <v>28</v>
      </c>
      <c r="P13" s="16">
        <f ca="1"/>
        <v>8</v>
      </c>
      <c r="Q13" s="15" t="str">
        <f ca="1"/>
        <v>Sneha Iyer</v>
      </c>
    </row>
    <row r="14" spans="1:17" ht="15.75">
      <c r="A14" s="2">
        <v>12</v>
      </c>
      <c r="B14" s="1" t="s">
        <v>29</v>
      </c>
      <c r="C14" s="1">
        <v>68</v>
      </c>
      <c r="D14" s="1">
        <v>75</v>
      </c>
      <c r="E14" s="1">
        <v>72</v>
      </c>
      <c r="F14" s="1">
        <f ca="1">SUM(Table1[[#This Row],[Maths]]:Table1[[#This Row],[English]])</f>
        <v>215</v>
      </c>
      <c r="G14" s="5">
        <f ca="1">(Table1[[#This Row],[Total]]/300)*100</f>
        <v>71.666666666666671</v>
      </c>
      <c r="H14" s="1" t="str">
        <f ca="1">IF(Table1[[#This Row],[Percentage]]&gt;=90,"A",IF(Table1[[#This Row],[Percentage]]&gt;=75,"B",IF(Table1[[#This Row],[Percentage]]&gt;=60,"C","D")))</f>
        <v>C</v>
      </c>
      <c r="I14" s="1" t="str">
        <f>IF(Table1[[#This Row],[Maths]]&lt;35,"Fail",IF(Table1[[#This Row],[Science]]&lt;=35,"Fail",IF(Table1[[#This Row],[English]]&lt;=35,"Fail","Pass")))</f>
        <v>Pass</v>
      </c>
      <c r="J14" s="9" t="str">
        <f>IF(AND(Table1[[#This Row],[Maths]]&gt;80,Table1[[#This Row],[Science]]&gt;80),"Yes","No")</f>
        <v>No</v>
      </c>
      <c r="K14" s="7" t="str">
        <f>IF(OR(Table1[[#This Row],[Maths]]&gt;80,Table1[[#This Row],[English]]&gt;80),"Yes","No")</f>
        <v>No</v>
      </c>
      <c r="M14" s="25" t="s">
        <v>30</v>
      </c>
      <c r="P14" s="16">
        <f ca="1"/>
        <v>11</v>
      </c>
      <c r="Q14" s="15" t="str">
        <f ca="1"/>
        <v>Vikram Patel</v>
      </c>
    </row>
    <row r="15" spans="1:17" ht="15.75">
      <c r="A15" s="2">
        <v>13</v>
      </c>
      <c r="B15" s="1" t="s">
        <v>31</v>
      </c>
      <c r="C15" s="1">
        <v>90</v>
      </c>
      <c r="D15" s="1">
        <v>86</v>
      </c>
      <c r="E15" s="1">
        <v>88</v>
      </c>
      <c r="F15" s="1">
        <f ca="1">SUM(Table1[[#This Row],[Maths]]:Table1[[#This Row],[English]])</f>
        <v>264</v>
      </c>
      <c r="G15" s="5">
        <f ca="1">(Table1[[#This Row],[Total]]/300)*100</f>
        <v>88</v>
      </c>
      <c r="H15" s="1" t="str">
        <f ca="1">IF(Table1[[#This Row],[Percentage]]&gt;=90,"A",IF(Table1[[#This Row],[Percentage]]&gt;=75,"B",IF(Table1[[#This Row],[Percentage]]&gt;=60,"C","D")))</f>
        <v>B</v>
      </c>
      <c r="I15" s="1" t="str">
        <f>IF(Table1[[#This Row],[Maths]]&lt;35,"Fail",IF(Table1[[#This Row],[Science]]&lt;=35,"Fail",IF(Table1[[#This Row],[English]]&lt;=35,"Fail","Pass")))</f>
        <v>Pass</v>
      </c>
      <c r="J15" s="9" t="str">
        <f>IF(AND(Table1[[#This Row],[Maths]]&gt;80,Table1[[#This Row],[Science]]&gt;80),"Yes","No")</f>
        <v>Yes</v>
      </c>
      <c r="K15" s="7" t="str">
        <f>IF(OR(Table1[[#This Row],[Maths]]&gt;80,Table1[[#This Row],[English]]&gt;80),"Yes","No")</f>
        <v>Yes</v>
      </c>
      <c r="M15" s="18">
        <f>COUNTIF(Table1[Maths],"&gt;50")</f>
        <v>23</v>
      </c>
      <c r="P15" s="16">
        <f ca="1"/>
        <v>13</v>
      </c>
      <c r="Q15" s="15" t="str">
        <f ca="1"/>
        <v>Yash Gupta</v>
      </c>
    </row>
    <row r="16" spans="1:17">
      <c r="A16" s="2">
        <v>14</v>
      </c>
      <c r="B16" s="1" t="s">
        <v>32</v>
      </c>
      <c r="C16" s="1">
        <v>59</v>
      </c>
      <c r="D16" s="1">
        <v>63</v>
      </c>
      <c r="E16" s="1">
        <v>61</v>
      </c>
      <c r="F16" s="1">
        <f ca="1">SUM(Table1[[#This Row],[Maths]]:Table1[[#This Row],[English]])</f>
        <v>183</v>
      </c>
      <c r="G16" s="5">
        <f ca="1">(Table1[[#This Row],[Total]]/300)*100</f>
        <v>61</v>
      </c>
      <c r="H16" s="1" t="str">
        <f ca="1">IF(Table1[[#This Row],[Percentage]]&gt;=90,"A",IF(Table1[[#This Row],[Percentage]]&gt;=75,"B",IF(Table1[[#This Row],[Percentage]]&gt;=60,"C","D")))</f>
        <v>C</v>
      </c>
      <c r="I16" s="1" t="str">
        <f>IF(Table1[[#This Row],[Maths]]&lt;35,"Fail",IF(Table1[[#This Row],[Science]]&lt;=35,"Fail",IF(Table1[[#This Row],[English]]&lt;=35,"Fail","Pass")))</f>
        <v>Pass</v>
      </c>
      <c r="J16" s="9" t="str">
        <f>IF(AND(Table1[[#This Row],[Maths]]&gt;80,Table1[[#This Row],[Science]]&gt;80),"Yes","No")</f>
        <v>No</v>
      </c>
      <c r="K16" s="7" t="str">
        <f>IF(OR(Table1[[#This Row],[Maths]]&gt;80,Table1[[#This Row],[English]]&gt;80),"Yes","No")</f>
        <v>No</v>
      </c>
      <c r="P16" s="16">
        <f ca="1"/>
        <v>16</v>
      </c>
      <c r="Q16" s="15" t="str">
        <f ca="1"/>
        <v>Deepak Yadav</v>
      </c>
    </row>
    <row r="17" spans="1:17">
      <c r="A17" s="2">
        <v>15</v>
      </c>
      <c r="B17" s="1" t="s">
        <v>33</v>
      </c>
      <c r="C17" s="1">
        <v>72</v>
      </c>
      <c r="D17" s="1">
        <v>70</v>
      </c>
      <c r="E17" s="1">
        <v>74</v>
      </c>
      <c r="F17" s="1">
        <f ca="1">SUM(Table1[[#This Row],[Maths]]:Table1[[#This Row],[English]])</f>
        <v>216</v>
      </c>
      <c r="G17" s="5">
        <f ca="1">(Table1[[#This Row],[Total]]/300)*100</f>
        <v>72</v>
      </c>
      <c r="H17" s="1" t="str">
        <f ca="1">IF(Table1[[#This Row],[Percentage]]&gt;=90,"A",IF(Table1[[#This Row],[Percentage]]&gt;=75,"B",IF(Table1[[#This Row],[Percentage]]&gt;=60,"C","D")))</f>
        <v>C</v>
      </c>
      <c r="I17" s="1" t="str">
        <f>IF(Table1[[#This Row],[Maths]]&lt;35,"Fail",IF(Table1[[#This Row],[Science]]&lt;=35,"Fail",IF(Table1[[#This Row],[English]]&lt;=35,"Fail","Pass")))</f>
        <v>Pass</v>
      </c>
      <c r="J17" s="9" t="str">
        <f>IF(AND(Table1[[#This Row],[Maths]]&gt;80,Table1[[#This Row],[Science]]&gt;80),"Yes","No")</f>
        <v>No</v>
      </c>
      <c r="K17" s="7" t="str">
        <f>IF(OR(Table1[[#This Row],[Maths]]&gt;80,Table1[[#This Row],[English]]&gt;80),"Yes","No")</f>
        <v>No</v>
      </c>
      <c r="P17" s="16">
        <f ca="1"/>
        <v>18</v>
      </c>
      <c r="Q17" s="15" t="str">
        <f ca="1"/>
        <v>Simran Kaur</v>
      </c>
    </row>
    <row r="18" spans="1:17" ht="15.75">
      <c r="A18" s="2">
        <v>16</v>
      </c>
      <c r="B18" s="1" t="s">
        <v>34</v>
      </c>
      <c r="C18" s="1">
        <v>81</v>
      </c>
      <c r="D18" s="1">
        <v>85</v>
      </c>
      <c r="E18" s="1">
        <v>79</v>
      </c>
      <c r="F18" s="1">
        <f ca="1">SUM(Table1[[#This Row],[Maths]]:Table1[[#This Row],[English]])</f>
        <v>245</v>
      </c>
      <c r="G18" s="5">
        <f ca="1">(Table1[[#This Row],[Total]]/300)*100</f>
        <v>81.666666666666671</v>
      </c>
      <c r="H18" s="1" t="str">
        <f ca="1">IF(Table1[[#This Row],[Percentage]]&gt;=90,"A",IF(Table1[[#This Row],[Percentage]]&gt;=75,"B",IF(Table1[[#This Row],[Percentage]]&gt;=60,"C","D")))</f>
        <v>B</v>
      </c>
      <c r="I18" s="1" t="str">
        <f>IF(Table1[[#This Row],[Maths]]&lt;35,"Fail",IF(Table1[[#This Row],[Science]]&lt;=35,"Fail",IF(Table1[[#This Row],[English]]&lt;=35,"Fail","Pass")))</f>
        <v>Pass</v>
      </c>
      <c r="J18" s="9" t="str">
        <f>IF(AND(Table1[[#This Row],[Maths]]&gt;80,Table1[[#This Row],[Science]]&gt;80),"Yes","No")</f>
        <v>Yes</v>
      </c>
      <c r="K18" s="7" t="str">
        <f>IF(OR(Table1[[#This Row],[Maths]]&gt;80,Table1[[#This Row],[English]]&gt;80),"Yes","No")</f>
        <v>Yes</v>
      </c>
      <c r="M18" s="17" t="s">
        <v>35</v>
      </c>
      <c r="P18" s="16">
        <f ca="1"/>
        <v>21</v>
      </c>
      <c r="Q18" s="15" t="str">
        <f ca="1"/>
        <v>Riya Mehta</v>
      </c>
    </row>
    <row r="19" spans="1:17" ht="15.75">
      <c r="A19" s="2">
        <v>17</v>
      </c>
      <c r="B19" s="1" t="s">
        <v>36</v>
      </c>
      <c r="C19" s="1">
        <v>66</v>
      </c>
      <c r="D19" s="1">
        <v>68</v>
      </c>
      <c r="E19" s="1">
        <v>64</v>
      </c>
      <c r="F19" s="1">
        <f ca="1">SUM(Table1[[#This Row],[Maths]]:Table1[[#This Row],[English]])</f>
        <v>198</v>
      </c>
      <c r="G19" s="5">
        <f ca="1">(Table1[[#This Row],[Total]]/300)*100</f>
        <v>66</v>
      </c>
      <c r="H19" s="1" t="str">
        <f ca="1">IF(Table1[[#This Row],[Percentage]]&gt;=90,"A",IF(Table1[[#This Row],[Percentage]]&gt;=75,"B",IF(Table1[[#This Row],[Percentage]]&gt;=60,"C","D")))</f>
        <v>C</v>
      </c>
      <c r="I19" s="1" t="str">
        <f>IF(Table1[[#This Row],[Maths]]&lt;35,"Fail",IF(Table1[[#This Row],[Science]]&lt;=35,"Fail",IF(Table1[[#This Row],[English]]&lt;=35,"Fail","Pass")))</f>
        <v>Pass</v>
      </c>
      <c r="J19" s="9" t="str">
        <f>IF(AND(Table1[[#This Row],[Maths]]&gt;80,Table1[[#This Row],[Science]]&gt;80),"Yes","No")</f>
        <v>No</v>
      </c>
      <c r="K19" s="7" t="str">
        <f>IF(OR(Table1[[#This Row],[Maths]]&gt;80,Table1[[#This Row],[English]]&gt;80),"Yes","No")</f>
        <v>No</v>
      </c>
      <c r="M19" s="26" t="s">
        <v>37</v>
      </c>
      <c r="P19" s="16">
        <f ca="1"/>
        <v>23</v>
      </c>
      <c r="Q19" s="15" t="str">
        <f ca="1"/>
        <v xml:space="preserve">Kuldeep Khandala </v>
      </c>
    </row>
    <row r="20" spans="1:17" ht="15.75">
      <c r="A20" s="2">
        <v>18</v>
      </c>
      <c r="B20" s="1" t="s">
        <v>38</v>
      </c>
      <c r="C20" s="1">
        <v>93</v>
      </c>
      <c r="D20" s="1">
        <v>92</v>
      </c>
      <c r="E20" s="1">
        <v>95</v>
      </c>
      <c r="F20" s="1">
        <f ca="1">SUM(Table1[[#This Row],[Maths]]:Table1[[#This Row],[English]])</f>
        <v>280</v>
      </c>
      <c r="G20" s="5">
        <f ca="1">(Table1[[#This Row],[Total]]/300)*100</f>
        <v>93.333333333333329</v>
      </c>
      <c r="H20" s="1" t="str">
        <f ca="1">IF(Table1[[#This Row],[Percentage]]&gt;=90,"A",IF(Table1[[#This Row],[Percentage]]&gt;=75,"B",IF(Table1[[#This Row],[Percentage]]&gt;=60,"C","D")))</f>
        <v>A</v>
      </c>
      <c r="I20" s="1" t="str">
        <f>IF(Table1[[#This Row],[Maths]]&lt;35,"Fail",IF(Table1[[#This Row],[Science]]&lt;=35,"Fail",IF(Table1[[#This Row],[English]]&lt;=35,"Fail","Pass")))</f>
        <v>Pass</v>
      </c>
      <c r="J20" s="9" t="str">
        <f>IF(AND(Table1[[#This Row],[Maths]]&gt;80,Table1[[#This Row],[Science]]&gt;80),"Yes","No")</f>
        <v>Yes</v>
      </c>
      <c r="K20" s="7" t="str">
        <f>IF(OR(Table1[[#This Row],[Maths]]&gt;80,Table1[[#This Row],[English]]&gt;80),"Yes","No")</f>
        <v>Yes</v>
      </c>
      <c r="M20" s="19">
        <f ca="1">AVERAGEIF(Table1[Percentage],"&gt;60")</f>
        <v>79.158730158730151</v>
      </c>
      <c r="P20" s="16">
        <f ca="1"/>
        <v>25</v>
      </c>
      <c r="Q20" s="15" t="str">
        <f ca="1"/>
        <v>Ekta Gohil</v>
      </c>
    </row>
    <row r="21" spans="1:17">
      <c r="A21" s="2">
        <v>19</v>
      </c>
      <c r="B21" s="1" t="s">
        <v>39</v>
      </c>
      <c r="C21" s="1">
        <v>52</v>
      </c>
      <c r="D21" s="1">
        <v>50</v>
      </c>
      <c r="E21" s="1">
        <v>55</v>
      </c>
      <c r="F21" s="1">
        <f ca="1">SUM(Table1[[#This Row],[Maths]]:Table1[[#This Row],[English]])</f>
        <v>157</v>
      </c>
      <c r="G21" s="5">
        <f ca="1">(Table1[[#This Row],[Total]]/300)*100</f>
        <v>52.333333333333329</v>
      </c>
      <c r="H21" s="1" t="str">
        <f ca="1">IF(Table1[[#This Row],[Percentage]]&gt;=90,"A",IF(Table1[[#This Row],[Percentage]]&gt;=75,"B",IF(Table1[[#This Row],[Percentage]]&gt;=60,"C","D")))</f>
        <v>D</v>
      </c>
      <c r="I21" s="1" t="str">
        <f>IF(Table1[[#This Row],[Maths]]&lt;35,"Fail",IF(Table1[[#This Row],[Science]]&lt;=35,"Fail",IF(Table1[[#This Row],[English]]&lt;=35,"Fail","Pass")))</f>
        <v>Pass</v>
      </c>
      <c r="J21" s="9" t="str">
        <f>IF(AND(Table1[[#This Row],[Maths]]&gt;80,Table1[[#This Row],[Science]]&gt;80),"Yes","No")</f>
        <v>No</v>
      </c>
      <c r="K21" s="7" t="str">
        <f>IF(OR(Table1[[#This Row],[Maths]]&gt;80,Table1[[#This Row],[English]]&gt;80),"Yes","No")</f>
        <v>No</v>
      </c>
    </row>
    <row r="22" spans="1:17" ht="15.75">
      <c r="A22" s="2">
        <v>20</v>
      </c>
      <c r="B22" s="1" t="s">
        <v>40</v>
      </c>
      <c r="C22" s="1">
        <v>78</v>
      </c>
      <c r="D22" s="1">
        <v>76</v>
      </c>
      <c r="E22" s="1">
        <v>80</v>
      </c>
      <c r="F22" s="1">
        <f ca="1">SUM(Table1[[#This Row],[Maths]]:Table1[[#This Row],[English]])</f>
        <v>234</v>
      </c>
      <c r="G22" s="5">
        <f ca="1">(Table1[[#This Row],[Total]]/300)*100</f>
        <v>78</v>
      </c>
      <c r="H22" s="1" t="str">
        <f ca="1">IF(Table1[[#This Row],[Percentage]]&gt;=90,"A",IF(Table1[[#This Row],[Percentage]]&gt;=75,"B",IF(Table1[[#This Row],[Percentage]]&gt;=60,"C","D")))</f>
        <v>B</v>
      </c>
      <c r="I22" s="1" t="str">
        <f>IF(Table1[[#This Row],[Maths]]&lt;35,"Fail",IF(Table1[[#This Row],[Science]]&lt;=35,"Fail",IF(Table1[[#This Row],[English]]&lt;=35,"Fail","Pass")))</f>
        <v>Pass</v>
      </c>
      <c r="J22" s="9" t="str">
        <f>IF(AND(Table1[[#This Row],[Maths]]&gt;80,Table1[[#This Row],[Science]]&gt;80),"Yes","No")</f>
        <v>No</v>
      </c>
      <c r="K22" s="7" t="str">
        <f>IF(OR(Table1[[#This Row],[Maths]]&gt;80,Table1[[#This Row],[English]]&gt;80),"Yes","No")</f>
        <v>No</v>
      </c>
      <c r="M22" s="85" t="s">
        <v>41</v>
      </c>
      <c r="N22" s="85"/>
      <c r="O22" s="85"/>
    </row>
    <row r="23" spans="1:17" ht="15.75">
      <c r="A23" s="2">
        <v>21</v>
      </c>
      <c r="B23" s="1" t="s">
        <v>42</v>
      </c>
      <c r="C23" s="1">
        <v>88</v>
      </c>
      <c r="D23" s="1">
        <v>90</v>
      </c>
      <c r="E23" s="1">
        <v>86</v>
      </c>
      <c r="F23" s="1">
        <f ca="1">SUM(Table1[[#This Row],[Maths]]:Table1[[#This Row],[English]])</f>
        <v>264</v>
      </c>
      <c r="G23" s="5">
        <f ca="1">(Table1[[#This Row],[Total]]/300)*100</f>
        <v>88</v>
      </c>
      <c r="H23" s="1" t="str">
        <f ca="1">IF(Table1[[#This Row],[Percentage]]&gt;=90,"A",IF(Table1[[#This Row],[Percentage]]&gt;=75,"B",IF(Table1[[#This Row],[Percentage]]&gt;=60,"C","D")))</f>
        <v>B</v>
      </c>
      <c r="I23" s="1" t="str">
        <f>IF(Table1[[#This Row],[Maths]]&lt;35,"Fail",IF(Table1[[#This Row],[Science]]&lt;=35,"Fail",IF(Table1[[#This Row],[English]]&lt;=35,"Fail","Pass")))</f>
        <v>Pass</v>
      </c>
      <c r="J23" s="9" t="str">
        <f>IF(AND(Table1[[#This Row],[Maths]]&gt;80,Table1[[#This Row],[Science]]&gt;80),"Yes","No")</f>
        <v>Yes</v>
      </c>
      <c r="K23" s="7" t="str">
        <f>IF(OR(Table1[[#This Row],[Maths]]&gt;80,Table1[[#This Row],[English]]&gt;80),"Yes","No")</f>
        <v>Yes</v>
      </c>
      <c r="M23" s="77" t="s">
        <v>43</v>
      </c>
      <c r="N23" s="77"/>
      <c r="O23" s="21">
        <f>MAX(Table1[Maths])</f>
        <v>96</v>
      </c>
    </row>
    <row r="24" spans="1:17" ht="15.75">
      <c r="A24" s="2">
        <v>22</v>
      </c>
      <c r="B24" s="1" t="s">
        <v>44</v>
      </c>
      <c r="C24" s="1">
        <v>60</v>
      </c>
      <c r="D24" s="1">
        <v>58</v>
      </c>
      <c r="E24" s="1">
        <v>62</v>
      </c>
      <c r="F24" s="1">
        <f ca="1">SUM(Table1[[#This Row],[Maths]]:Table1[[#This Row],[English]])</f>
        <v>180</v>
      </c>
      <c r="G24" s="5">
        <f ca="1">(Table1[[#This Row],[Total]]/300)*100</f>
        <v>60</v>
      </c>
      <c r="H24" s="1" t="str">
        <f ca="1">IF(Table1[[#This Row],[Percentage]]&gt;=90,"A",IF(Table1[[#This Row],[Percentage]]&gt;=75,"B",IF(Table1[[#This Row],[Percentage]]&gt;=60,"C","D")))</f>
        <v>C</v>
      </c>
      <c r="I24" s="1" t="str">
        <f>IF(Table1[[#This Row],[Maths]]&lt;35,"Fail",IF(Table1[[#This Row],[Science]]&lt;=35,"Fail",IF(Table1[[#This Row],[English]]&lt;=35,"Fail","Pass")))</f>
        <v>Pass</v>
      </c>
      <c r="J24" s="9" t="str">
        <f>IF(AND(Table1[[#This Row],[Maths]]&gt;80,Table1[[#This Row],[Science]]&gt;80),"Yes","No")</f>
        <v>No</v>
      </c>
      <c r="K24" s="7" t="str">
        <f>IF(OR(Table1[[#This Row],[Maths]]&gt;80,Table1[[#This Row],[English]]&gt;80),"Yes","No")</f>
        <v>No</v>
      </c>
      <c r="M24" s="77" t="s">
        <v>3</v>
      </c>
      <c r="N24" s="77"/>
      <c r="O24" s="21">
        <f>MAX(Table1[Science])</f>
        <v>94</v>
      </c>
    </row>
    <row r="25" spans="1:17" ht="15.75">
      <c r="A25" s="2">
        <v>23</v>
      </c>
      <c r="B25" s="1" t="s">
        <v>45</v>
      </c>
      <c r="C25" s="1">
        <v>84</v>
      </c>
      <c r="D25" s="1">
        <v>80</v>
      </c>
      <c r="E25" s="1">
        <v>82</v>
      </c>
      <c r="F25" s="1">
        <f ca="1">SUM(Table1[[#This Row],[Maths]]:Table1[[#This Row],[English]])</f>
        <v>246</v>
      </c>
      <c r="G25" s="5">
        <f ca="1">(Table1[[#This Row],[Total]]/300)*100</f>
        <v>82</v>
      </c>
      <c r="H25" s="1" t="str">
        <f ca="1">IF(Table1[[#This Row],[Percentage]]&gt;=90,"A",IF(Table1[[#This Row],[Percentage]]&gt;=75,"B",IF(Table1[[#This Row],[Percentage]]&gt;=60,"C","D")))</f>
        <v>B</v>
      </c>
      <c r="I25" s="1" t="str">
        <f>IF(Table1[[#This Row],[Maths]]&lt;35,"Fail",IF(Table1[[#This Row],[Science]]&lt;=35,"Fail",IF(Table1[[#This Row],[English]]&lt;=35,"Fail","Pass")))</f>
        <v>Pass</v>
      </c>
      <c r="J25" s="9" t="str">
        <f>IF(AND(Table1[[#This Row],[Maths]]&gt;80,Table1[[#This Row],[Science]]&gt;80),"Yes","No")</f>
        <v>No</v>
      </c>
      <c r="K25" s="7" t="str">
        <f>IF(OR(Table1[[#This Row],[Maths]]&gt;80,Table1[[#This Row],[English]]&gt;80),"Yes","No")</f>
        <v>Yes</v>
      </c>
      <c r="M25" s="77" t="s">
        <v>4</v>
      </c>
      <c r="N25" s="77"/>
      <c r="O25" s="21">
        <f>MAX(Table1[English])</f>
        <v>95</v>
      </c>
    </row>
    <row r="26" spans="1:17">
      <c r="A26" s="2">
        <v>24</v>
      </c>
      <c r="B26" s="1" t="s">
        <v>46</v>
      </c>
      <c r="C26" s="1">
        <v>73</v>
      </c>
      <c r="D26" s="1">
        <v>68</v>
      </c>
      <c r="E26" s="1">
        <v>70</v>
      </c>
      <c r="F26" s="1">
        <f ca="1">SUM(Table1[[#This Row],[Maths]]:Table1[[#This Row],[English]])</f>
        <v>211</v>
      </c>
      <c r="G26" s="5">
        <f ca="1">(Table1[[#This Row],[Total]]/300)*100</f>
        <v>70.333333333333343</v>
      </c>
      <c r="H26" s="1" t="str">
        <f ca="1">IF(Table1[[#This Row],[Percentage]]&gt;=90,"A",IF(Table1[[#This Row],[Percentage]]&gt;=75,"B",IF(Table1[[#This Row],[Percentage]]&gt;=60,"C","D")))</f>
        <v>C</v>
      </c>
      <c r="I26" s="1" t="str">
        <f>IF(Table1[[#This Row],[Maths]]&lt;35,"Fail",IF(Table1[[#This Row],[Science]]&lt;=35,"Fail",IF(Table1[[#This Row],[English]]&lt;=35,"Fail","Pass")))</f>
        <v>Pass</v>
      </c>
      <c r="J26" s="9" t="str">
        <f>IF(AND(Table1[[#This Row],[Maths]]&gt;80,Table1[[#This Row],[Science]]&gt;80),"Yes","No")</f>
        <v>No</v>
      </c>
      <c r="K26" s="7" t="str">
        <f>IF(OR(Table1[[#This Row],[Maths]]&gt;80,Table1[[#This Row],[English]]&gt;80),"Yes","No")</f>
        <v>No</v>
      </c>
    </row>
    <row r="27" spans="1:17">
      <c r="A27" s="3">
        <v>25</v>
      </c>
      <c r="B27" s="4" t="s">
        <v>47</v>
      </c>
      <c r="C27" s="4">
        <v>96</v>
      </c>
      <c r="D27" s="4">
        <v>89</v>
      </c>
      <c r="E27" s="4">
        <v>94</v>
      </c>
      <c r="F27" s="4">
        <f ca="1">SUM(Table1[[#This Row],[Maths]]:Table1[[#This Row],[English]])</f>
        <v>279</v>
      </c>
      <c r="G27" s="6">
        <f ca="1">(Table1[[#This Row],[Total]]/300)*100</f>
        <v>93</v>
      </c>
      <c r="H27" s="4" t="str">
        <f ca="1">IF(Table1[[#This Row],[Percentage]]&gt;=90,"A",IF(Table1[[#This Row],[Percentage]]&gt;=75,"B",IF(Table1[[#This Row],[Percentage]]&gt;=60,"C","D")))</f>
        <v>A</v>
      </c>
      <c r="I27" s="4" t="str">
        <f>IF(Table1[[#This Row],[Maths]]&lt;35,"Fail",IF(Table1[[#This Row],[Science]]&lt;=35,"Fail",IF(Table1[[#This Row],[English]]&lt;=35,"Fail","Pass")))</f>
        <v>Pass</v>
      </c>
      <c r="J27" s="10" t="str">
        <f>IF(AND(Table1[[#This Row],[Maths]]&gt;80,Table1[[#This Row],[Science]]&gt;80),"Yes","No")</f>
        <v>Yes</v>
      </c>
      <c r="K27" s="8" t="str">
        <f>IF(OR(Table1[[#This Row],[Maths]]&gt;80,Table1[[#This Row],[English]]&gt;80),"Yes","No")</f>
        <v>Yes</v>
      </c>
    </row>
    <row r="29" spans="1:17" ht="15.75">
      <c r="M29" s="78" t="s">
        <v>48</v>
      </c>
      <c r="N29" s="78"/>
    </row>
    <row r="30" spans="1:17" ht="15.75" customHeight="1">
      <c r="M30" s="24" cm="1">
        <f t="array" aca="1" ref="M30:N30" ca="1">_xlfn._xlws.FILTER(A3:B27,G3:G27=MAX(G3:G27))</f>
        <v>18</v>
      </c>
      <c r="N30" s="20" t="str">
        <f ca="1"/>
        <v>Simran Kaur</v>
      </c>
    </row>
  </sheetData>
  <mergeCells count="10">
    <mergeCell ref="P8:Q8"/>
    <mergeCell ref="P9:Q9"/>
    <mergeCell ref="M22:O22"/>
    <mergeCell ref="M2:P2"/>
    <mergeCell ref="M23:N23"/>
    <mergeCell ref="M24:N24"/>
    <mergeCell ref="M25:N25"/>
    <mergeCell ref="M29:N29"/>
    <mergeCell ref="M8:N8"/>
    <mergeCell ref="M9:N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5F68-E90B-4E98-AC4C-106491CCAA5D}">
  <sheetPr>
    <tabColor theme="5" tint="-0.249977111117893"/>
  </sheetPr>
  <dimension ref="A3:U29"/>
  <sheetViews>
    <sheetView topLeftCell="N1" workbookViewId="0">
      <selection activeCell="E6" sqref="E6"/>
    </sheetView>
  </sheetViews>
  <sheetFormatPr defaultRowHeight="15"/>
  <cols>
    <col min="2" max="3" width="10.5703125" bestFit="1" customWidth="1"/>
    <col min="4" max="4" width="9.7109375" bestFit="1" customWidth="1"/>
    <col min="5" max="5" width="15.28515625" customWidth="1"/>
    <col min="6" max="6" width="10.85546875" customWidth="1"/>
    <col min="7" max="7" width="17.28515625" customWidth="1"/>
    <col min="8" max="8" width="13.85546875" customWidth="1"/>
    <col min="9" max="9" width="9.7109375" customWidth="1"/>
    <col min="10" max="10" width="15.28515625" customWidth="1"/>
    <col min="11" max="11" width="19.42578125" customWidth="1"/>
    <col min="12" max="12" width="10.7109375" bestFit="1" customWidth="1"/>
    <col min="13" max="13" width="9.7109375" bestFit="1" customWidth="1"/>
    <col min="14" max="14" width="8.5703125" customWidth="1"/>
    <col min="16" max="16" width="13.42578125" customWidth="1"/>
    <col min="17" max="17" width="18" customWidth="1"/>
    <col min="18" max="18" width="10.85546875" customWidth="1"/>
    <col min="19" max="19" width="5.85546875" customWidth="1"/>
    <col min="20" max="20" width="28.28515625" bestFit="1" customWidth="1"/>
    <col min="21" max="21" width="15.28515625" customWidth="1"/>
  </cols>
  <sheetData>
    <row r="3" spans="1:21" ht="15.75">
      <c r="A3" s="38"/>
      <c r="B3" s="50" t="s">
        <v>49</v>
      </c>
      <c r="C3" s="51" t="s">
        <v>50</v>
      </c>
      <c r="D3" s="51" t="s">
        <v>51</v>
      </c>
      <c r="E3" s="51" t="s">
        <v>52</v>
      </c>
      <c r="F3" s="51" t="s">
        <v>53</v>
      </c>
      <c r="G3" s="51" t="s">
        <v>54</v>
      </c>
      <c r="H3" s="52" t="s">
        <v>55</v>
      </c>
      <c r="I3" s="52" t="s">
        <v>56</v>
      </c>
      <c r="J3" s="52" t="s">
        <v>57</v>
      </c>
      <c r="K3" s="52" t="s">
        <v>58</v>
      </c>
      <c r="L3" s="52" t="s">
        <v>59</v>
      </c>
      <c r="M3" s="52" t="s">
        <v>60</v>
      </c>
      <c r="N3" s="53" t="s">
        <v>61</v>
      </c>
      <c r="P3" s="90" t="s">
        <v>62</v>
      </c>
      <c r="Q3" s="91"/>
      <c r="R3" s="91"/>
      <c r="T3" s="89" t="s">
        <v>63</v>
      </c>
      <c r="U3" s="89"/>
    </row>
    <row r="4" spans="1:21">
      <c r="B4" s="41">
        <v>2001</v>
      </c>
      <c r="C4" s="35" t="s">
        <v>64</v>
      </c>
      <c r="D4" s="35" t="s">
        <v>65</v>
      </c>
      <c r="E4" s="35" t="s">
        <v>12</v>
      </c>
      <c r="F4" s="36">
        <v>7048</v>
      </c>
      <c r="G4" s="37">
        <v>44927</v>
      </c>
      <c r="H4" s="1" t="str">
        <f>TEXT(Table5[[#This Row],[Date]],"DDD")</f>
        <v>Sun</v>
      </c>
      <c r="I4" s="1" t="str">
        <f>TEXT(Table5[[#This Row],[Date]],"MMM")</f>
        <v>Jan</v>
      </c>
      <c r="J4" s="1" t="str">
        <f>IF(Table5[[#This Row],[Amount]]&gt;=40000,"15% OFF",IF(Table5[[#This Row],[Amount]]&gt;=30000,"10% OFF","Non Reduced"))</f>
        <v>Non Reduced</v>
      </c>
      <c r="K4" s="39">
        <f>IF(J3="15% OFF", F3*15%,IF(J3="10% OFF",F3*10%,0))</f>
        <v>0</v>
      </c>
      <c r="L4" s="40">
        <f>ROUND(Table5[[#This Row],[Discount Amount]],0)</f>
        <v>0</v>
      </c>
      <c r="M4" s="1">
        <f>CEILING(Table5[[#This Row],[Discount Amount]],100)</f>
        <v>0</v>
      </c>
      <c r="N4" s="42">
        <f>FLOOR(Table5[[#This Row],[Discount Amount]],100)</f>
        <v>0</v>
      </c>
      <c r="P4" s="68" t="s">
        <v>66</v>
      </c>
      <c r="Q4" s="68" t="s">
        <v>67</v>
      </c>
      <c r="R4" s="68" t="s">
        <v>68</v>
      </c>
      <c r="S4" s="54"/>
      <c r="T4" s="55" t="s">
        <v>69</v>
      </c>
      <c r="U4" s="59">
        <f>SUMIFS(F4:F23,C4:C23,"Keyboard",D4:D23,"East")</f>
        <v>80349</v>
      </c>
    </row>
    <row r="5" spans="1:21">
      <c r="B5" s="41">
        <v>2002</v>
      </c>
      <c r="C5" s="35" t="s">
        <v>70</v>
      </c>
      <c r="D5" s="35" t="s">
        <v>71</v>
      </c>
      <c r="E5" s="35" t="s">
        <v>72</v>
      </c>
      <c r="F5" s="36">
        <v>17428</v>
      </c>
      <c r="G5" s="37">
        <v>44942</v>
      </c>
      <c r="H5" s="1" t="str">
        <f>TEXT(Table5[[#This Row],[Date]],"DDD")</f>
        <v>Mon</v>
      </c>
      <c r="I5" s="1" t="str">
        <f>TEXT(Table5[[#This Row],[Date]],"MMM")</f>
        <v>Jan</v>
      </c>
      <c r="J5" s="1" t="str">
        <f>IF(Table5[[#This Row],[Amount]]&gt;=40000,"15% OFF",IF(Table5[[#This Row],[Amount]]&gt;=30000,"10% OFF","Non Reduced"))</f>
        <v>Non Reduced</v>
      </c>
      <c r="K5" s="39">
        <f t="shared" ref="K5:K23" si="0">IF(J4="15% OFF", F4*15%,IF(J4="10% OFF",F4*10%,0))</f>
        <v>0</v>
      </c>
      <c r="L5" s="40">
        <f>ROUND(Table5[[#This Row],[Discount Amount]],0)</f>
        <v>0</v>
      </c>
      <c r="M5" s="1">
        <f>CEILING(Table5[[#This Row],[Discount Amount]],100)</f>
        <v>0</v>
      </c>
      <c r="N5" s="42">
        <f>FLOOR(Table5[[#This Row],[Discount Amount]],100)</f>
        <v>0</v>
      </c>
      <c r="P5" s="55">
        <v>1</v>
      </c>
      <c r="Q5" s="56" t="s">
        <v>70</v>
      </c>
      <c r="R5" s="57">
        <f>_xlfn.MINIFS(Table5[Amount], Table5[Product], Q5)</f>
        <v>5264</v>
      </c>
      <c r="T5" s="55" t="s">
        <v>73</v>
      </c>
      <c r="U5" s="59">
        <f>SUMIFS(F5:F24,C5:C24,"Keyboard",D5:D24,"North")</f>
        <v>43388</v>
      </c>
    </row>
    <row r="6" spans="1:21">
      <c r="B6" s="41">
        <v>2003</v>
      </c>
      <c r="C6" s="35" t="s">
        <v>74</v>
      </c>
      <c r="D6" s="35" t="s">
        <v>65</v>
      </c>
      <c r="E6" s="35" t="s">
        <v>75</v>
      </c>
      <c r="F6" s="36">
        <v>23672</v>
      </c>
      <c r="G6" s="37">
        <v>44957</v>
      </c>
      <c r="H6" s="1" t="str">
        <f>TEXT(Table5[[#This Row],[Date]],"DDD")</f>
        <v>Tue</v>
      </c>
      <c r="I6" s="1" t="str">
        <f>TEXT(Table5[[#This Row],[Date]],"MMM")</f>
        <v>Jan</v>
      </c>
      <c r="J6" s="1" t="str">
        <f>IF(Table5[[#This Row],[Amount]]&gt;=40000,"15% OFF",IF(Table5[[#This Row],[Amount]]&gt;=30000,"10% OFF","Non Reduced"))</f>
        <v>Non Reduced</v>
      </c>
      <c r="K6" s="39">
        <f t="shared" si="0"/>
        <v>0</v>
      </c>
      <c r="L6" s="40">
        <f>ROUND(Table5[[#This Row],[Discount Amount]],0)</f>
        <v>0</v>
      </c>
      <c r="M6" s="1">
        <f>CEILING(Table5[[#This Row],[Discount Amount]],100)</f>
        <v>0</v>
      </c>
      <c r="N6" s="42">
        <f>FLOOR(Table5[[#This Row],[Discount Amount]],100)</f>
        <v>0</v>
      </c>
      <c r="P6" s="55">
        <v>2</v>
      </c>
      <c r="Q6" s="56" t="s">
        <v>74</v>
      </c>
      <c r="R6" s="57">
        <f>_xlfn.MINIFS(Table5[Amount], Table5[Product], Q6)</f>
        <v>5277</v>
      </c>
      <c r="T6" s="55" t="s">
        <v>65</v>
      </c>
      <c r="U6" s="59">
        <f>SUMIFS(F6:F25,C6:C25,"Keyboard",D6:D25,"South")</f>
        <v>35185</v>
      </c>
    </row>
    <row r="7" spans="1:21">
      <c r="B7" s="41">
        <v>2004</v>
      </c>
      <c r="C7" s="35" t="s">
        <v>70</v>
      </c>
      <c r="D7" s="35" t="s">
        <v>69</v>
      </c>
      <c r="E7" s="35" t="s">
        <v>76</v>
      </c>
      <c r="F7" s="36">
        <v>5264</v>
      </c>
      <c r="G7" s="37">
        <v>44972</v>
      </c>
      <c r="H7" s="1" t="str">
        <f>TEXT(Table5[[#This Row],[Date]],"DDD")</f>
        <v>Wed</v>
      </c>
      <c r="I7" s="1" t="str">
        <f>TEXT(Table5[[#This Row],[Date]],"MMM")</f>
        <v>Feb</v>
      </c>
      <c r="J7" s="1" t="str">
        <f>IF(Table5[[#This Row],[Amount]]&gt;=40000,"15% OFF",IF(Table5[[#This Row],[Amount]]&gt;=30000,"10% OFF","Non Reduced"))</f>
        <v>Non Reduced</v>
      </c>
      <c r="K7" s="39">
        <f t="shared" si="0"/>
        <v>0</v>
      </c>
      <c r="L7" s="40">
        <f>ROUND(Table5[[#This Row],[Discount Amount]],0)</f>
        <v>0</v>
      </c>
      <c r="M7" s="1">
        <f>CEILING(Table5[[#This Row],[Discount Amount]],100)</f>
        <v>0</v>
      </c>
      <c r="N7" s="42">
        <f>FLOOR(Table5[[#This Row],[Discount Amount]],100)</f>
        <v>0</v>
      </c>
      <c r="P7" s="55">
        <v>3</v>
      </c>
      <c r="Q7" s="56" t="s">
        <v>64</v>
      </c>
      <c r="R7" s="57">
        <f>_xlfn.MINIFS(Table5[Amount], Table5[Product], Q7)</f>
        <v>7048</v>
      </c>
      <c r="T7" s="55" t="s">
        <v>71</v>
      </c>
      <c r="U7" s="59">
        <f>SUMIFS(F7:F26,C7:C26,"Keyboard",D7:D26,"West")</f>
        <v>0</v>
      </c>
    </row>
    <row r="8" spans="1:21">
      <c r="B8" s="41">
        <v>2005</v>
      </c>
      <c r="C8" s="35" t="s">
        <v>64</v>
      </c>
      <c r="D8" s="35" t="s">
        <v>73</v>
      </c>
      <c r="E8" s="35" t="s">
        <v>77</v>
      </c>
      <c r="F8" s="36">
        <v>43388</v>
      </c>
      <c r="G8" s="37">
        <v>44987</v>
      </c>
      <c r="H8" s="1" t="str">
        <f>TEXT(Table5[[#This Row],[Date]],"DDD")</f>
        <v>Thu</v>
      </c>
      <c r="I8" s="1" t="str">
        <f>TEXT(Table5[[#This Row],[Date]],"MMM")</f>
        <v>Mar</v>
      </c>
      <c r="J8" s="1" t="str">
        <f>IF(Table5[[#This Row],[Amount]]&gt;=40000,"15% OFF",IF(Table5[[#This Row],[Amount]]&gt;=30000,"10% OFF","Non Reduced"))</f>
        <v>15% OFF</v>
      </c>
      <c r="K8" s="39">
        <f t="shared" si="0"/>
        <v>0</v>
      </c>
      <c r="L8" s="40">
        <f>ROUND(Table5[[#This Row],[Discount Amount]],0)</f>
        <v>0</v>
      </c>
      <c r="M8" s="1">
        <f>CEILING(Table5[[#This Row],[Discount Amount]],100)</f>
        <v>0</v>
      </c>
      <c r="N8" s="42">
        <f>FLOOR(Table5[[#This Row],[Discount Amount]],100)</f>
        <v>0</v>
      </c>
      <c r="P8" s="55">
        <v>4</v>
      </c>
      <c r="Q8" s="56" t="s">
        <v>74</v>
      </c>
      <c r="R8" s="57">
        <f>_xlfn.MINIFS(Table5[Amount], Table5[Product], Q8)</f>
        <v>5277</v>
      </c>
    </row>
    <row r="9" spans="1:21">
      <c r="B9" s="41">
        <v>2006</v>
      </c>
      <c r="C9" s="35" t="s">
        <v>74</v>
      </c>
      <c r="D9" s="35" t="s">
        <v>73</v>
      </c>
      <c r="E9" s="35" t="s">
        <v>78</v>
      </c>
      <c r="F9" s="36">
        <v>19757</v>
      </c>
      <c r="G9" s="37">
        <v>45002</v>
      </c>
      <c r="H9" s="1" t="str">
        <f>TEXT(Table5[[#This Row],[Date]],"DDD")</f>
        <v>Fri</v>
      </c>
      <c r="I9" s="1" t="str">
        <f>TEXT(Table5[[#This Row],[Date]],"MMM")</f>
        <v>Mar</v>
      </c>
      <c r="J9" s="1" t="str">
        <f>IF(Table5[[#This Row],[Amount]]&gt;=40000,"15% OFF",IF(Table5[[#This Row],[Amount]]&gt;=30000,"10% OFF","Non Reduced"))</f>
        <v>Non Reduced</v>
      </c>
      <c r="K9" s="39">
        <f t="shared" si="0"/>
        <v>6508.2</v>
      </c>
      <c r="L9" s="40">
        <f>ROUND(Table5[[#This Row],[Discount Amount]],0)</f>
        <v>6508</v>
      </c>
      <c r="M9" s="1">
        <f>CEILING(Table5[[#This Row],[Discount Amount]],100)</f>
        <v>6600</v>
      </c>
      <c r="N9" s="42">
        <f>FLOOR(Table5[[#This Row],[Discount Amount]],100)</f>
        <v>6500</v>
      </c>
      <c r="P9" s="55">
        <v>5</v>
      </c>
      <c r="Q9" s="56" t="s">
        <v>70</v>
      </c>
      <c r="R9" s="57">
        <f>_xlfn.MINIFS(Table5[Amount], Table5[Product], Q9)</f>
        <v>5264</v>
      </c>
      <c r="T9" s="90" t="s">
        <v>79</v>
      </c>
      <c r="U9" s="92"/>
    </row>
    <row r="10" spans="1:21">
      <c r="B10" s="41">
        <v>2007</v>
      </c>
      <c r="C10" s="35" t="s">
        <v>74</v>
      </c>
      <c r="D10" s="35" t="s">
        <v>69</v>
      </c>
      <c r="E10" s="35" t="s">
        <v>80</v>
      </c>
      <c r="F10" s="36">
        <v>32058</v>
      </c>
      <c r="G10" s="37">
        <v>45017</v>
      </c>
      <c r="H10" s="1" t="str">
        <f>TEXT(Table5[[#This Row],[Date]],"DDD")</f>
        <v>Sat</v>
      </c>
      <c r="I10" s="1" t="str">
        <f>TEXT(Table5[[#This Row],[Date]],"MMM")</f>
        <v>Apr</v>
      </c>
      <c r="J10" s="1" t="str">
        <f>IF(Table5[[#This Row],[Amount]]&gt;=40000,"15% OFF",IF(Table5[[#This Row],[Amount]]&gt;=30000,"10% OFF","Non Reduced"))</f>
        <v>10% OFF</v>
      </c>
      <c r="K10" s="39">
        <f t="shared" si="0"/>
        <v>0</v>
      </c>
      <c r="L10" s="40">
        <f>ROUND(Table5[[#This Row],[Discount Amount]],0)</f>
        <v>0</v>
      </c>
      <c r="M10" s="1">
        <f>CEILING(Table5[[#This Row],[Discount Amount]],100)</f>
        <v>0</v>
      </c>
      <c r="N10" s="42">
        <f>FLOOR(Table5[[#This Row],[Discount Amount]],100)</f>
        <v>0</v>
      </c>
      <c r="T10" s="55" t="s">
        <v>69</v>
      </c>
      <c r="U10" s="59">
        <f>SUMIF(D4:D23,"East",F4:F23)</f>
        <v>173932</v>
      </c>
    </row>
    <row r="11" spans="1:21">
      <c r="B11" s="41">
        <v>2008</v>
      </c>
      <c r="C11" s="35" t="s">
        <v>64</v>
      </c>
      <c r="D11" s="35" t="s">
        <v>69</v>
      </c>
      <c r="E11" s="35" t="s">
        <v>75</v>
      </c>
      <c r="F11" s="36">
        <v>46429</v>
      </c>
      <c r="G11" s="37">
        <v>45032</v>
      </c>
      <c r="H11" s="1" t="str">
        <f>TEXT(Table5[[#This Row],[Date]],"DDD")</f>
        <v>Sun</v>
      </c>
      <c r="I11" s="1" t="str">
        <f>TEXT(Table5[[#This Row],[Date]],"MMM")</f>
        <v>Apr</v>
      </c>
      <c r="J11" s="1" t="str">
        <f>IF(Table5[[#This Row],[Amount]]&gt;=40000,"15% OFF",IF(Table5[[#This Row],[Amount]]&gt;=30000,"10% OFF","Non Reduced"))</f>
        <v>15% OFF</v>
      </c>
      <c r="K11" s="39">
        <f t="shared" si="0"/>
        <v>3205.8</v>
      </c>
      <c r="L11" s="40">
        <f>ROUND(Table5[[#This Row],[Discount Amount]],0)</f>
        <v>3206</v>
      </c>
      <c r="M11" s="1">
        <f>CEILING(Table5[[#This Row],[Discount Amount]],100)</f>
        <v>3300</v>
      </c>
      <c r="N11" s="42">
        <f>FLOOR(Table5[[#This Row],[Discount Amount]],100)</f>
        <v>3200</v>
      </c>
      <c r="P11" s="89" t="s">
        <v>81</v>
      </c>
      <c r="Q11" s="89"/>
      <c r="R11" s="89"/>
      <c r="T11" s="55" t="s">
        <v>73</v>
      </c>
      <c r="U11" s="59">
        <f>SUMIF(D5:D24,"North",F5:F24)</f>
        <v>140627</v>
      </c>
    </row>
    <row r="12" spans="1:21">
      <c r="B12" s="41">
        <v>2009</v>
      </c>
      <c r="C12" s="35" t="s">
        <v>70</v>
      </c>
      <c r="D12" s="35" t="s">
        <v>69</v>
      </c>
      <c r="E12" s="35" t="s">
        <v>76</v>
      </c>
      <c r="F12" s="36">
        <v>19746</v>
      </c>
      <c r="G12" s="37">
        <v>45047</v>
      </c>
      <c r="H12" s="1" t="str">
        <f>TEXT(Table5[[#This Row],[Date]],"DDD")</f>
        <v>Mon</v>
      </c>
      <c r="I12" s="1" t="str">
        <f>TEXT(Table5[[#This Row],[Date]],"MMM")</f>
        <v>May</v>
      </c>
      <c r="J12" s="1" t="str">
        <f>IF(Table5[[#This Row],[Amount]]&gt;=40000,"15% OFF",IF(Table5[[#This Row],[Amount]]&gt;=30000,"10% OFF","Non Reduced"))</f>
        <v>Non Reduced</v>
      </c>
      <c r="K12" s="39">
        <f t="shared" si="0"/>
        <v>6964.3499999999995</v>
      </c>
      <c r="L12" s="40">
        <f>ROUND(Table5[[#This Row],[Discount Amount]],0)</f>
        <v>6964</v>
      </c>
      <c r="M12" s="1">
        <f>CEILING(Table5[[#This Row],[Discount Amount]],100)</f>
        <v>7000</v>
      </c>
      <c r="N12" s="42">
        <f>FLOOR(Table5[[#This Row],[Discount Amount]],100)</f>
        <v>6900</v>
      </c>
      <c r="P12" s="68" t="s">
        <v>82</v>
      </c>
      <c r="Q12" s="68" t="s">
        <v>67</v>
      </c>
      <c r="R12" s="68" t="s">
        <v>83</v>
      </c>
      <c r="T12" s="55" t="s">
        <v>71</v>
      </c>
      <c r="U12" s="59">
        <f>SUMIF(D6:D25,"West",F6:F25)</f>
        <v>102550</v>
      </c>
    </row>
    <row r="13" spans="1:21">
      <c r="B13" s="41">
        <v>2010</v>
      </c>
      <c r="C13" s="35" t="s">
        <v>64</v>
      </c>
      <c r="D13" s="35" t="s">
        <v>65</v>
      </c>
      <c r="E13" s="35" t="s">
        <v>77</v>
      </c>
      <c r="F13" s="36">
        <v>35185</v>
      </c>
      <c r="G13" s="37">
        <v>45062</v>
      </c>
      <c r="H13" s="1" t="str">
        <f>TEXT(Table5[[#This Row],[Date]],"DDD")</f>
        <v>Tue</v>
      </c>
      <c r="I13" s="1" t="str">
        <f>TEXT(Table5[[#This Row],[Date]],"MMM")</f>
        <v>May</v>
      </c>
      <c r="J13" s="1" t="str">
        <f>IF(Table5[[#This Row],[Amount]]&gt;=40000,"15% OFF",IF(Table5[[#This Row],[Amount]]&gt;=30000,"10% OFF","Non Reduced"))</f>
        <v>10% OFF</v>
      </c>
      <c r="K13" s="39">
        <f t="shared" si="0"/>
        <v>0</v>
      </c>
      <c r="L13" s="40">
        <f>ROUND(Table5[[#This Row],[Discount Amount]],0)</f>
        <v>0</v>
      </c>
      <c r="M13" s="1">
        <f>CEILING(Table5[[#This Row],[Discount Amount]],100)</f>
        <v>0</v>
      </c>
      <c r="N13" s="42">
        <f>FLOOR(Table5[[#This Row],[Discount Amount]],100)</f>
        <v>0</v>
      </c>
      <c r="P13" s="55">
        <v>5</v>
      </c>
      <c r="Q13" s="58" t="str">
        <f>VLOOKUP(P13,P5:R9,2,0)</f>
        <v>Printer</v>
      </c>
      <c r="R13" s="59">
        <f>VLOOKUP(P13,P5:R9,3,0)</f>
        <v>5264</v>
      </c>
      <c r="T13" s="55" t="s">
        <v>65</v>
      </c>
      <c r="U13" s="59">
        <f>SUMIF(D7:D26,"South",F7:F26)</f>
        <v>42468</v>
      </c>
    </row>
    <row r="14" spans="1:21">
      <c r="B14" s="41">
        <v>2011</v>
      </c>
      <c r="C14" s="35" t="s">
        <v>64</v>
      </c>
      <c r="D14" s="35" t="s">
        <v>69</v>
      </c>
      <c r="E14" s="35" t="s">
        <v>78</v>
      </c>
      <c r="F14" s="36">
        <v>33920</v>
      </c>
      <c r="G14" s="37">
        <v>45077</v>
      </c>
      <c r="H14" s="1" t="str">
        <f>TEXT(Table5[[#This Row],[Date]],"DDD")</f>
        <v>Wed</v>
      </c>
      <c r="I14" s="1" t="str">
        <f>TEXT(Table5[[#This Row],[Date]],"MMM")</f>
        <v>May</v>
      </c>
      <c r="J14" s="1" t="str">
        <f>IF(Table5[[#This Row],[Amount]]&gt;=40000,"15% OFF",IF(Table5[[#This Row],[Amount]]&gt;=30000,"10% OFF","Non Reduced"))</f>
        <v>10% OFF</v>
      </c>
      <c r="K14" s="39">
        <f t="shared" si="0"/>
        <v>3518.5</v>
      </c>
      <c r="L14" s="40">
        <f>ROUND(Table5[[#This Row],[Discount Amount]],0)</f>
        <v>3519</v>
      </c>
      <c r="M14" s="1">
        <f>CEILING(Table5[[#This Row],[Discount Amount]],100)</f>
        <v>3600</v>
      </c>
      <c r="N14" s="42">
        <f>FLOOR(Table5[[#This Row],[Discount Amount]],100)</f>
        <v>3500</v>
      </c>
      <c r="P14" s="55">
        <v>3</v>
      </c>
      <c r="Q14" s="58" t="str">
        <f>VLOOKUP(P14, P4:R9, 2, 0)</f>
        <v>Keyboard</v>
      </c>
      <c r="R14" s="59">
        <f>VLOOKUP(P14,P4:R9,3,0)</f>
        <v>7048</v>
      </c>
    </row>
    <row r="15" spans="1:21">
      <c r="B15" s="41">
        <v>2012</v>
      </c>
      <c r="C15" s="35" t="s">
        <v>84</v>
      </c>
      <c r="D15" s="35" t="s">
        <v>73</v>
      </c>
      <c r="E15" s="35" t="s">
        <v>80</v>
      </c>
      <c r="F15" s="36">
        <v>35611</v>
      </c>
      <c r="G15" s="37">
        <v>45092</v>
      </c>
      <c r="H15" s="1" t="str">
        <f>TEXT(Table5[[#This Row],[Date]],"DDD")</f>
        <v>Thu</v>
      </c>
      <c r="I15" s="1" t="str">
        <f>TEXT(Table5[[#This Row],[Date]],"MMM")</f>
        <v>Jun</v>
      </c>
      <c r="J15" s="1" t="str">
        <f>IF(Table5[[#This Row],[Amount]]&gt;=40000,"15% OFF",IF(Table5[[#This Row],[Amount]]&gt;=30000,"10% OFF","Non Reduced"))</f>
        <v>10% OFF</v>
      </c>
      <c r="K15" s="39">
        <f t="shared" si="0"/>
        <v>3392</v>
      </c>
      <c r="L15" s="40">
        <f>ROUND(Table5[[#This Row],[Discount Amount]],0)</f>
        <v>3392</v>
      </c>
      <c r="M15" s="1">
        <f>CEILING(Table5[[#This Row],[Discount Amount]],100)</f>
        <v>3400</v>
      </c>
      <c r="N15" s="42">
        <f>FLOOR(Table5[[#This Row],[Discount Amount]],100)</f>
        <v>3300</v>
      </c>
      <c r="P15" s="55">
        <v>2</v>
      </c>
      <c r="Q15" s="58" t="str">
        <f>VLOOKUP(P15,P5:R9,2,0)</f>
        <v>Mouse</v>
      </c>
      <c r="R15" s="59">
        <f>VLOOKUP(P15,P5:R9,3,0)</f>
        <v>5277</v>
      </c>
      <c r="T15" s="89" t="s">
        <v>85</v>
      </c>
      <c r="U15" s="89"/>
    </row>
    <row r="16" spans="1:21">
      <c r="B16" s="41">
        <v>2013</v>
      </c>
      <c r="C16" s="35" t="s">
        <v>86</v>
      </c>
      <c r="D16" s="35" t="s">
        <v>69</v>
      </c>
      <c r="E16" s="35" t="s">
        <v>75</v>
      </c>
      <c r="F16" s="36">
        <v>15560</v>
      </c>
      <c r="G16" s="37">
        <v>45107</v>
      </c>
      <c r="H16" s="1" t="str">
        <f>TEXT(Table5[[#This Row],[Date]],"DDD")</f>
        <v>Fri</v>
      </c>
      <c r="I16" s="1" t="str">
        <f>TEXT(Table5[[#This Row],[Date]],"MMM")</f>
        <v>Jun</v>
      </c>
      <c r="J16" s="1" t="str">
        <f>IF(Table5[[#This Row],[Amount]]&gt;=40000,"15% OFF",IF(Table5[[#This Row],[Amount]]&gt;=30000,"10% OFF","Non Reduced"))</f>
        <v>Non Reduced</v>
      </c>
      <c r="K16" s="39">
        <f t="shared" si="0"/>
        <v>3561.1000000000004</v>
      </c>
      <c r="L16" s="40">
        <f>ROUND(Table5[[#This Row],[Discount Amount]],0)</f>
        <v>3561</v>
      </c>
      <c r="M16" s="1">
        <f>CEILING(Table5[[#This Row],[Discount Amount]],100)</f>
        <v>3600</v>
      </c>
      <c r="N16" s="42">
        <f>FLOOR(Table5[[#This Row],[Discount Amount]],100)</f>
        <v>3500</v>
      </c>
      <c r="T16" s="55" t="s">
        <v>49</v>
      </c>
      <c r="U16" s="58">
        <v>2003</v>
      </c>
    </row>
    <row r="17" spans="2:21">
      <c r="B17" s="41">
        <v>2014</v>
      </c>
      <c r="C17" s="35" t="s">
        <v>86</v>
      </c>
      <c r="D17" s="35" t="s">
        <v>65</v>
      </c>
      <c r="E17" s="35" t="s">
        <v>76</v>
      </c>
      <c r="F17" s="36">
        <v>7283</v>
      </c>
      <c r="G17" s="37">
        <v>45122</v>
      </c>
      <c r="H17" s="1" t="str">
        <f>TEXT(Table5[[#This Row],[Date]],"DDD")</f>
        <v>Sat</v>
      </c>
      <c r="I17" s="1" t="str">
        <f>TEXT(Table5[[#This Row],[Date]],"MMM")</f>
        <v>Jul</v>
      </c>
      <c r="J17" s="1" t="str">
        <f>IF(Table5[[#This Row],[Amount]]&gt;=40000,"15% OFF",IF(Table5[[#This Row],[Amount]]&gt;=30000,"10% OFF","Non Reduced"))</f>
        <v>Non Reduced</v>
      </c>
      <c r="K17" s="39">
        <f t="shared" si="0"/>
        <v>0</v>
      </c>
      <c r="L17" s="40">
        <f>ROUND(Table5[[#This Row],[Discount Amount]],0)</f>
        <v>0</v>
      </c>
      <c r="M17" s="1">
        <f>CEILING(Table5[[#This Row],[Discount Amount]],100)</f>
        <v>0</v>
      </c>
      <c r="N17" s="42">
        <f>FLOOR(Table5[[#This Row],[Discount Amount]],100)</f>
        <v>0</v>
      </c>
      <c r="P17" s="71" t="s">
        <v>87</v>
      </c>
      <c r="Q17" s="71" t="s">
        <v>88</v>
      </c>
      <c r="R17" s="71" t="s">
        <v>89</v>
      </c>
      <c r="T17" s="55" t="s">
        <v>90</v>
      </c>
      <c r="U17" s="59">
        <f ca="1">VLOOKUP(U16,Table5[Sales ID]:Table5[Amount],5,0)</f>
        <v>23672</v>
      </c>
    </row>
    <row r="18" spans="2:21">
      <c r="B18" s="41">
        <v>2015</v>
      </c>
      <c r="C18" s="35" t="s">
        <v>86</v>
      </c>
      <c r="D18" s="35" t="s">
        <v>69</v>
      </c>
      <c r="E18" s="35" t="s">
        <v>77</v>
      </c>
      <c r="F18" s="36">
        <v>15678</v>
      </c>
      <c r="G18" s="37">
        <v>45137</v>
      </c>
      <c r="H18" s="1" t="str">
        <f>TEXT(Table5[[#This Row],[Date]],"DDD")</f>
        <v>Sun</v>
      </c>
      <c r="I18" s="1" t="str">
        <f>TEXT(Table5[[#This Row],[Date]],"MMM")</f>
        <v>Jul</v>
      </c>
      <c r="J18" s="1" t="str">
        <f>IF(Table5[[#This Row],[Amount]]&gt;=40000,"15% OFF",IF(Table5[[#This Row],[Amount]]&gt;=30000,"10% OFF","Non Reduced"))</f>
        <v>Non Reduced</v>
      </c>
      <c r="K18" s="39">
        <f t="shared" si="0"/>
        <v>0</v>
      </c>
      <c r="L18" s="40">
        <f>ROUND(Table5[[#This Row],[Discount Amount]],0)</f>
        <v>0</v>
      </c>
      <c r="M18" s="1">
        <f>CEILING(Table5[[#This Row],[Discount Amount]],100)</f>
        <v>0</v>
      </c>
      <c r="N18" s="42">
        <f>FLOOR(Table5[[#This Row],[Discount Amount]],100)</f>
        <v>0</v>
      </c>
      <c r="P18" s="60" t="str">
        <f>LEFT(E4,FIND(" ",E4)-1)</f>
        <v>Rahul</v>
      </c>
      <c r="Q18" s="58" t="str">
        <f>UPPER(P18)</f>
        <v>RAHUL</v>
      </c>
      <c r="R18" s="58" t="str">
        <f>LOWER(P18)</f>
        <v>rahul</v>
      </c>
    </row>
    <row r="19" spans="2:21">
      <c r="B19" s="41">
        <v>2016</v>
      </c>
      <c r="C19" s="35" t="s">
        <v>74</v>
      </c>
      <c r="D19" s="35" t="s">
        <v>69</v>
      </c>
      <c r="E19" s="35" t="s">
        <v>78</v>
      </c>
      <c r="F19" s="36">
        <v>5277</v>
      </c>
      <c r="G19" s="37">
        <v>45152</v>
      </c>
      <c r="H19" s="1" t="str">
        <f>TEXT(Table5[[#This Row],[Date]],"DDD")</f>
        <v>Mon</v>
      </c>
      <c r="I19" s="1" t="str">
        <f>TEXT(Table5[[#This Row],[Date]],"MMM")</f>
        <v>Aug</v>
      </c>
      <c r="J19" s="1" t="str">
        <f>IF(Table5[[#This Row],[Amount]]&gt;=40000,"15% OFF",IF(Table5[[#This Row],[Amount]]&gt;=30000,"10% OFF","Non Reduced"))</f>
        <v>Non Reduced</v>
      </c>
      <c r="K19" s="39">
        <f t="shared" si="0"/>
        <v>0</v>
      </c>
      <c r="L19" s="40">
        <f>ROUND(Table5[[#This Row],[Discount Amount]],0)</f>
        <v>0</v>
      </c>
      <c r="M19" s="1">
        <f>CEILING(Table5[[#This Row],[Discount Amount]],100)</f>
        <v>0</v>
      </c>
      <c r="N19" s="42">
        <f>FLOOR(Table5[[#This Row],[Discount Amount]],100)</f>
        <v>0</v>
      </c>
      <c r="T19" s="89" t="s">
        <v>91</v>
      </c>
      <c r="U19" s="89"/>
    </row>
    <row r="20" spans="2:21">
      <c r="B20" s="41">
        <v>2017</v>
      </c>
      <c r="C20" s="35" t="s">
        <v>84</v>
      </c>
      <c r="D20" s="35" t="s">
        <v>73</v>
      </c>
      <c r="E20" s="35" t="s">
        <v>80</v>
      </c>
      <c r="F20" s="36">
        <v>41871</v>
      </c>
      <c r="G20" s="37">
        <v>45167</v>
      </c>
      <c r="H20" s="1" t="str">
        <f>TEXT(Table5[[#This Row],[Date]],"DDD")</f>
        <v>Tue</v>
      </c>
      <c r="I20" s="1" t="str">
        <f>TEXT(Table5[[#This Row],[Date]],"MMM")</f>
        <v>Aug</v>
      </c>
      <c r="J20" s="1" t="str">
        <f>IF(Table5[[#This Row],[Amount]]&gt;=40000,"15% OFF",IF(Table5[[#This Row],[Amount]]&gt;=30000,"10% OFF","Non Reduced"))</f>
        <v>15% OFF</v>
      </c>
      <c r="K20" s="39">
        <f t="shared" si="0"/>
        <v>0</v>
      </c>
      <c r="L20" s="40">
        <f>ROUND(Table5[[#This Row],[Discount Amount]],0)</f>
        <v>0</v>
      </c>
      <c r="M20" s="1">
        <f>CEILING(Table5[[#This Row],[Discount Amount]],100)</f>
        <v>0</v>
      </c>
      <c r="N20" s="42">
        <f>FLOOR(Table5[[#This Row],[Discount Amount]],100)</f>
        <v>0</v>
      </c>
      <c r="P20" s="89" t="s">
        <v>92</v>
      </c>
      <c r="Q20" s="89"/>
      <c r="T20" s="55" t="s">
        <v>93</v>
      </c>
      <c r="U20" s="58" t="str">
        <f>_xlfn.XLOOKUP(U16,B4:B23,E4:E23,"Not Found")</f>
        <v>Amit</v>
      </c>
    </row>
    <row r="21" spans="2:21">
      <c r="B21" s="41">
        <v>2018</v>
      </c>
      <c r="C21" s="35" t="s">
        <v>84</v>
      </c>
      <c r="D21" s="35" t="s">
        <v>71</v>
      </c>
      <c r="E21" s="35" t="s">
        <v>75</v>
      </c>
      <c r="F21" s="36">
        <v>38161</v>
      </c>
      <c r="G21" s="37">
        <v>45182</v>
      </c>
      <c r="H21" s="1" t="str">
        <f>TEXT(Table5[[#This Row],[Date]],"DDD")</f>
        <v>Wed</v>
      </c>
      <c r="I21" s="1" t="str">
        <f>TEXT(Table5[[#This Row],[Date]],"MMM")</f>
        <v>Sep</v>
      </c>
      <c r="J21" s="1" t="str">
        <f>IF(Table5[[#This Row],[Amount]]&gt;=40000,"15% OFF",IF(Table5[[#This Row],[Amount]]&gt;=30000,"10% OFF","Non Reduced"))</f>
        <v>10% OFF</v>
      </c>
      <c r="K21" s="39">
        <f t="shared" si="0"/>
        <v>6280.65</v>
      </c>
      <c r="L21" s="40">
        <f>ROUND(Table5[[#This Row],[Discount Amount]],0)</f>
        <v>6281</v>
      </c>
      <c r="M21" s="1">
        <f>CEILING(Table5[[#This Row],[Discount Amount]],100)</f>
        <v>6300</v>
      </c>
      <c r="N21" s="42">
        <f>FLOOR(Table5[[#This Row],[Discount Amount]],100)</f>
        <v>6200</v>
      </c>
      <c r="P21" s="55" t="s">
        <v>49</v>
      </c>
      <c r="Q21" s="58">
        <v>2010</v>
      </c>
      <c r="T21" s="55" t="s">
        <v>94</v>
      </c>
      <c r="U21" s="58" t="str">
        <f>_xlfn.XLOOKUP(U20,E4:E23,C4:C23,"Not Found")</f>
        <v>Mouse</v>
      </c>
    </row>
    <row r="22" spans="2:21">
      <c r="B22" s="41">
        <v>2019</v>
      </c>
      <c r="C22" s="35" t="s">
        <v>74</v>
      </c>
      <c r="D22" s="35" t="s">
        <v>71</v>
      </c>
      <c r="E22" s="35" t="s">
        <v>76</v>
      </c>
      <c r="F22" s="36">
        <v>30436</v>
      </c>
      <c r="G22" s="37">
        <v>45197</v>
      </c>
      <c r="H22" s="1" t="str">
        <f>TEXT(Table5[[#This Row],[Date]],"DDD")</f>
        <v>Thu</v>
      </c>
      <c r="I22" s="1" t="str">
        <f>TEXT(Table5[[#This Row],[Date]],"MMM")</f>
        <v>Sep</v>
      </c>
      <c r="J22" s="1" t="str">
        <f>IF(Table5[[#This Row],[Amount]]&gt;=40000,"15% OFF",IF(Table5[[#This Row],[Amount]]&gt;=30000,"10% OFF","Non Reduced"))</f>
        <v>10% OFF</v>
      </c>
      <c r="K22" s="39">
        <f t="shared" si="0"/>
        <v>3816.1000000000004</v>
      </c>
      <c r="L22" s="40">
        <f>ROUND(Table5[[#This Row],[Discount Amount]],0)</f>
        <v>3816</v>
      </c>
      <c r="M22" s="1">
        <f>CEILING(Table5[[#This Row],[Discount Amount]],100)</f>
        <v>3900</v>
      </c>
      <c r="N22" s="42">
        <f>FLOOR(Table5[[#This Row],[Discount Amount]],100)</f>
        <v>3800</v>
      </c>
      <c r="P22" s="55" t="s">
        <v>95</v>
      </c>
      <c r="Q22" s="58" t="str">
        <f>INDEX(E4:E23, MATCH(Q21,B4:B23, 1))</f>
        <v>Karan</v>
      </c>
    </row>
    <row r="23" spans="2:21">
      <c r="B23" s="43">
        <v>2020</v>
      </c>
      <c r="C23" s="44" t="s">
        <v>70</v>
      </c>
      <c r="D23" s="44" t="s">
        <v>71</v>
      </c>
      <c r="E23" s="44" t="s">
        <v>77</v>
      </c>
      <c r="F23" s="45">
        <v>33953</v>
      </c>
      <c r="G23" s="46">
        <v>45212</v>
      </c>
      <c r="H23" s="4" t="str">
        <f>TEXT(Table5[[#This Row],[Date]],"DDD")</f>
        <v>Fri</v>
      </c>
      <c r="I23" s="4" t="str">
        <f>TEXT(Table5[[#This Row],[Date]],"MMM")</f>
        <v>Oct</v>
      </c>
      <c r="J23" s="4" t="str">
        <f>IF(Table5[[#This Row],[Amount]]&gt;=40000,"15% OFF",IF(Table5[[#This Row],[Amount]]&gt;=30000,"10% OFF","Non Reduced"))</f>
        <v>10% OFF</v>
      </c>
      <c r="K23" s="47">
        <f t="shared" si="0"/>
        <v>3043.6000000000004</v>
      </c>
      <c r="L23" s="48">
        <f>ROUND(Table5[[#This Row],[Discount Amount]],0)</f>
        <v>3044</v>
      </c>
      <c r="M23" s="4">
        <f>CEILING(Table5[[#This Row],[Discount Amount]],100)</f>
        <v>3100</v>
      </c>
      <c r="N23" s="49">
        <f>FLOOR(Table5[[#This Row],[Discount Amount]],100)</f>
        <v>3000</v>
      </c>
    </row>
    <row r="24" spans="2:21">
      <c r="P24" s="89" t="s">
        <v>96</v>
      </c>
      <c r="Q24" s="89"/>
      <c r="T24" s="89" t="s">
        <v>97</v>
      </c>
      <c r="U24" s="89"/>
    </row>
    <row r="25" spans="2:21">
      <c r="P25" s="55" t="s">
        <v>64</v>
      </c>
      <c r="Q25" s="58">
        <f>_xlfn.XMATCH("Keyboard",Table5[Product])</f>
        <v>1</v>
      </c>
      <c r="T25" s="55" t="s">
        <v>98</v>
      </c>
      <c r="U25" s="58">
        <f ca="1">OFFSET(B6,2,0)</f>
        <v>2005</v>
      </c>
    </row>
    <row r="26" spans="2:21">
      <c r="P26" s="55" t="s">
        <v>86</v>
      </c>
      <c r="Q26" s="58">
        <f>_xlfn.XMATCH("Laptop",Table5[Product])</f>
        <v>13</v>
      </c>
      <c r="T26" s="55" t="s">
        <v>99</v>
      </c>
      <c r="U26" s="58" cm="1">
        <f t="array" aca="1" ref="U26" ca="1">INDIRECT("B6")</f>
        <v>2003</v>
      </c>
    </row>
    <row r="27" spans="2:21">
      <c r="P27" s="55" t="s">
        <v>74</v>
      </c>
      <c r="Q27" s="58">
        <f>_xlfn.XMATCH("Mouse",Table5[Product])</f>
        <v>3</v>
      </c>
    </row>
    <row r="28" spans="2:21">
      <c r="P28" s="55" t="s">
        <v>84</v>
      </c>
      <c r="Q28" s="58">
        <f>_xlfn.XMATCH("Monitor",Table5[Product])</f>
        <v>12</v>
      </c>
    </row>
    <row r="29" spans="2:21">
      <c r="P29" s="55" t="s">
        <v>70</v>
      </c>
      <c r="Q29" s="58">
        <f>_xlfn.XMATCH("Printer",Table5[Product])</f>
        <v>2</v>
      </c>
    </row>
  </sheetData>
  <mergeCells count="9">
    <mergeCell ref="P20:Q20"/>
    <mergeCell ref="P24:Q24"/>
    <mergeCell ref="T24:U24"/>
    <mergeCell ref="P3:R3"/>
    <mergeCell ref="T3:U3"/>
    <mergeCell ref="T9:U9"/>
    <mergeCell ref="P11:R11"/>
    <mergeCell ref="T15:U15"/>
    <mergeCell ref="T19:U1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2724-C3C2-405E-AB74-6FABBD513BF9}">
  <sheetPr>
    <tabColor rgb="FFFFFF00"/>
  </sheetPr>
  <dimension ref="B2:O22"/>
  <sheetViews>
    <sheetView topLeftCell="C1" workbookViewId="0">
      <selection activeCell="E24" sqref="E24"/>
    </sheetView>
  </sheetViews>
  <sheetFormatPr defaultRowHeight="15"/>
  <cols>
    <col min="2" max="2" width="14.28515625" bestFit="1" customWidth="1"/>
    <col min="3" max="3" width="12.140625" bestFit="1" customWidth="1"/>
    <col min="4" max="4" width="14" bestFit="1" customWidth="1"/>
    <col min="5" max="5" width="8.5703125" bestFit="1" customWidth="1"/>
    <col min="6" max="6" width="17.28515625" customWidth="1"/>
    <col min="7" max="7" width="16.7109375" bestFit="1" customWidth="1"/>
    <col min="8" max="8" width="16.28515625" customWidth="1"/>
    <col min="11" max="11" width="26.140625" bestFit="1" customWidth="1"/>
    <col min="12" max="12" width="36.5703125" bestFit="1" customWidth="1"/>
    <col min="14" max="14" width="33.5703125" bestFit="1" customWidth="1"/>
    <col min="15" max="15" width="36.5703125" bestFit="1" customWidth="1"/>
  </cols>
  <sheetData>
    <row r="2" spans="2:15">
      <c r="B2" s="62" t="s">
        <v>100</v>
      </c>
      <c r="C2" s="63" t="s">
        <v>13</v>
      </c>
      <c r="D2" s="63" t="s">
        <v>101</v>
      </c>
      <c r="E2" s="63" t="s">
        <v>102</v>
      </c>
      <c r="F2" s="64" t="s">
        <v>103</v>
      </c>
      <c r="G2" s="63" t="s">
        <v>104</v>
      </c>
      <c r="H2" s="63" t="s">
        <v>105</v>
      </c>
      <c r="K2" s="93" t="s">
        <v>91</v>
      </c>
      <c r="L2" s="93"/>
      <c r="N2" s="72" t="s">
        <v>106</v>
      </c>
      <c r="O2" s="72" t="s">
        <v>107</v>
      </c>
    </row>
    <row r="3" spans="2:15">
      <c r="B3" s="41">
        <v>3001</v>
      </c>
      <c r="C3" s="35" t="s">
        <v>108</v>
      </c>
      <c r="D3" s="35" t="s">
        <v>109</v>
      </c>
      <c r="E3" s="35">
        <v>86766</v>
      </c>
      <c r="F3" s="65">
        <v>42005</v>
      </c>
      <c r="G3" s="67">
        <f t="shared" ref="G3:G22" ca="1" si="0">IF(F3&lt;=TODAY(),(TODAY()-F3), "Not Joined Yet")</f>
        <v>4106</v>
      </c>
      <c r="H3" s="61" t="str">
        <f>TEXT(Table6[[#This Row],[Joining Date]],"MMMM")</f>
        <v>January</v>
      </c>
      <c r="K3" s="73" t="s">
        <v>100</v>
      </c>
      <c r="L3" s="74">
        <v>3010</v>
      </c>
      <c r="N3" s="73" t="s">
        <v>109</v>
      </c>
      <c r="O3" s="74">
        <f>SUMIF(Table6[Department],"Finance",Table6[Salary])</f>
        <v>485714</v>
      </c>
    </row>
    <row r="4" spans="2:15">
      <c r="B4" s="41">
        <v>3002</v>
      </c>
      <c r="C4" s="35" t="s">
        <v>110</v>
      </c>
      <c r="D4" s="35" t="s">
        <v>109</v>
      </c>
      <c r="E4" s="35">
        <v>31943</v>
      </c>
      <c r="F4" s="65">
        <v>42255</v>
      </c>
      <c r="G4" s="67">
        <f t="shared" ca="1" si="0"/>
        <v>3856</v>
      </c>
      <c r="H4" s="35" t="str">
        <f>TEXT(Table6[[#This Row],[Joining Date]],"MMMM")</f>
        <v>September</v>
      </c>
      <c r="K4" s="73" t="s">
        <v>102</v>
      </c>
      <c r="L4" s="75">
        <f>_xlfn.XLOOKUP(L3,Table6[Employee ID],Table6[Salary],"Not Found",0)</f>
        <v>107877</v>
      </c>
      <c r="N4" s="73" t="s">
        <v>111</v>
      </c>
      <c r="O4" s="74">
        <f>SUMIF(Table6[Department],"IT",Table6[Salary])</f>
        <v>431204</v>
      </c>
    </row>
    <row r="5" spans="2:15">
      <c r="B5" s="41">
        <v>3003</v>
      </c>
      <c r="C5" s="35" t="s">
        <v>112</v>
      </c>
      <c r="D5" s="35" t="s">
        <v>113</v>
      </c>
      <c r="E5" s="35">
        <v>63374</v>
      </c>
      <c r="F5" s="65">
        <v>42505</v>
      </c>
      <c r="G5" s="67">
        <f t="shared" ca="1" si="0"/>
        <v>3606</v>
      </c>
      <c r="H5" s="35" t="str">
        <f>TEXT(Table6[[#This Row],[Joining Date]],"MMMM")</f>
        <v>May</v>
      </c>
      <c r="N5" s="73" t="s">
        <v>113</v>
      </c>
      <c r="O5" s="74">
        <f>SUMIF(Table6[Department],"HR",Table6[Salary])</f>
        <v>417713</v>
      </c>
    </row>
    <row r="6" spans="2:15">
      <c r="B6" s="41">
        <v>3004</v>
      </c>
      <c r="C6" s="35" t="s">
        <v>114</v>
      </c>
      <c r="D6" s="35" t="s">
        <v>109</v>
      </c>
      <c r="E6" s="35">
        <v>109972</v>
      </c>
      <c r="F6" s="65">
        <v>42755</v>
      </c>
      <c r="G6" s="67">
        <f t="shared" ca="1" si="0"/>
        <v>3356</v>
      </c>
      <c r="H6" s="35" t="str">
        <f>TEXT(Table6[[#This Row],[Joining Date]],"MMMM")</f>
        <v>January</v>
      </c>
      <c r="K6" s="73" t="s">
        <v>115</v>
      </c>
      <c r="L6" s="74">
        <v>3015</v>
      </c>
      <c r="N6" s="73" t="s">
        <v>116</v>
      </c>
      <c r="O6" s="74">
        <f>SUMIF(Table6[Department],"Marketing",Table6[Salary])</f>
        <v>252167</v>
      </c>
    </row>
    <row r="7" spans="2:15">
      <c r="B7" s="41">
        <v>3005</v>
      </c>
      <c r="C7" s="35" t="s">
        <v>117</v>
      </c>
      <c r="D7" s="35" t="s">
        <v>111</v>
      </c>
      <c r="E7" s="35">
        <v>54149</v>
      </c>
      <c r="F7" s="65">
        <v>43005</v>
      </c>
      <c r="G7" s="67">
        <f t="shared" ca="1" si="0"/>
        <v>3106</v>
      </c>
      <c r="H7" s="35" t="str">
        <f>TEXT(Table6[[#This Row],[Joining Date]],"MMMM")</f>
        <v>September</v>
      </c>
      <c r="K7" s="73" t="s">
        <v>118</v>
      </c>
      <c r="L7" s="74" t="str">
        <f>_xlfn.XLOOKUP(L6,Table6[Employee ID],Table6[Name],"Not Found",0)</f>
        <v>Employee 15</v>
      </c>
    </row>
    <row r="8" spans="2:15">
      <c r="B8" s="41">
        <v>3006</v>
      </c>
      <c r="C8" s="35" t="s">
        <v>119</v>
      </c>
      <c r="D8" s="35" t="s">
        <v>111</v>
      </c>
      <c r="E8" s="35">
        <v>78689</v>
      </c>
      <c r="F8" s="65">
        <v>43255</v>
      </c>
      <c r="G8" s="67">
        <f t="shared" ca="1" si="0"/>
        <v>2856</v>
      </c>
      <c r="H8" s="35" t="str">
        <f>TEXT(Table6[[#This Row],[Joining Date]],"MMMM")</f>
        <v>June</v>
      </c>
      <c r="K8" s="73" t="s">
        <v>102</v>
      </c>
      <c r="L8" s="74">
        <f>_xlfn.XLOOKUP(L7,Table6[Name],Table6[Salary],"Not Found",0)</f>
        <v>63297</v>
      </c>
      <c r="N8" s="72" t="s">
        <v>120</v>
      </c>
      <c r="O8" s="72" t="s">
        <v>121</v>
      </c>
    </row>
    <row r="9" spans="2:15">
      <c r="B9" s="41">
        <v>3007</v>
      </c>
      <c r="C9" s="35" t="s">
        <v>122</v>
      </c>
      <c r="D9" s="35" t="s">
        <v>116</v>
      </c>
      <c r="E9" s="35">
        <v>35960</v>
      </c>
      <c r="F9" s="65">
        <v>43505</v>
      </c>
      <c r="G9" s="67">
        <f t="shared" ca="1" si="0"/>
        <v>2606</v>
      </c>
      <c r="H9" s="35" t="str">
        <f>TEXT(Table6[[#This Row],[Joining Date]],"MMMM")</f>
        <v>February</v>
      </c>
      <c r="K9" s="73" t="s">
        <v>101</v>
      </c>
      <c r="L9" s="74" t="str">
        <f>_xlfn.XLOOKUP(L7,Table6[Name],Table6[Department],"Not Found",0)</f>
        <v>HR</v>
      </c>
      <c r="N9" s="73" t="str">
        <f>N3</f>
        <v>Finance</v>
      </c>
      <c r="O9" s="75">
        <f>COUNTIFS(D3:D22,N9,E3:E22,"&gt;100000")</f>
        <v>3</v>
      </c>
    </row>
    <row r="10" spans="2:15">
      <c r="B10" s="41">
        <v>3008</v>
      </c>
      <c r="C10" s="35" t="s">
        <v>123</v>
      </c>
      <c r="D10" s="35" t="s">
        <v>111</v>
      </c>
      <c r="E10" s="35">
        <v>91659</v>
      </c>
      <c r="F10" s="65">
        <v>43755</v>
      </c>
      <c r="G10" s="67">
        <f t="shared" ca="1" si="0"/>
        <v>2356</v>
      </c>
      <c r="H10" s="35" t="str">
        <f>TEXT(Table6[[#This Row],[Joining Date]],"MMMM")</f>
        <v>October</v>
      </c>
      <c r="N10" s="73" t="str">
        <f>N4</f>
        <v>IT</v>
      </c>
      <c r="O10" s="75">
        <f t="shared" ref="O10:O12" si="1">COUNTIFS(D4:D23,N10,E4:E23,"&gt;100000")</f>
        <v>1</v>
      </c>
    </row>
    <row r="11" spans="2:15">
      <c r="B11" s="41">
        <v>3009</v>
      </c>
      <c r="C11" s="35" t="s">
        <v>124</v>
      </c>
      <c r="D11" s="35" t="s">
        <v>111</v>
      </c>
      <c r="E11" s="35">
        <v>90423</v>
      </c>
      <c r="F11" s="65">
        <v>44005</v>
      </c>
      <c r="G11" s="67">
        <f t="shared" ca="1" si="0"/>
        <v>2106</v>
      </c>
      <c r="H11" s="35" t="str">
        <f>TEXT(Table6[[#This Row],[Joining Date]],"MMMM")</f>
        <v>June</v>
      </c>
      <c r="K11" s="94" t="s">
        <v>125</v>
      </c>
      <c r="L11" s="95"/>
      <c r="N11" s="73" t="str">
        <f>N5</f>
        <v>HR</v>
      </c>
      <c r="O11" s="75">
        <f t="shared" si="1"/>
        <v>1</v>
      </c>
    </row>
    <row r="12" spans="2:15">
      <c r="B12" s="41">
        <v>3010</v>
      </c>
      <c r="C12" s="35" t="s">
        <v>126</v>
      </c>
      <c r="D12" s="35" t="s">
        <v>113</v>
      </c>
      <c r="E12" s="35">
        <v>107877</v>
      </c>
      <c r="F12" s="65">
        <v>44255</v>
      </c>
      <c r="G12" s="67">
        <f t="shared" ca="1" si="0"/>
        <v>1856</v>
      </c>
      <c r="H12" s="35" t="str">
        <f>TEXT(Table6[[#This Row],[Joining Date]],"MMMM")</f>
        <v>February</v>
      </c>
      <c r="K12" s="73" t="s">
        <v>127</v>
      </c>
      <c r="L12" s="74" t="str">
        <f ca="1">OFFSET(C6,1,0)</f>
        <v>Employee 5</v>
      </c>
      <c r="N12" s="73" t="str">
        <f>N6</f>
        <v>Marketing</v>
      </c>
      <c r="O12" s="75">
        <f t="shared" si="1"/>
        <v>1</v>
      </c>
    </row>
    <row r="13" spans="2:15">
      <c r="B13" s="41">
        <v>3011</v>
      </c>
      <c r="C13" s="35" t="s">
        <v>128</v>
      </c>
      <c r="D13" s="35" t="s">
        <v>109</v>
      </c>
      <c r="E13" s="35">
        <v>107634</v>
      </c>
      <c r="F13" s="65">
        <v>44505</v>
      </c>
      <c r="G13" s="67">
        <f t="shared" ca="1" si="0"/>
        <v>1606</v>
      </c>
      <c r="H13" s="35" t="str">
        <f>TEXT(Table6[[#This Row],[Joining Date]],"MMMM")</f>
        <v>November</v>
      </c>
      <c r="K13" s="73" t="s">
        <v>129</v>
      </c>
      <c r="L13" s="74" cm="1">
        <f t="array" aca="1" ref="L13" ca="1">INDIRECT("B12")</f>
        <v>3010</v>
      </c>
    </row>
    <row r="14" spans="2:15">
      <c r="B14" s="41">
        <v>3012</v>
      </c>
      <c r="C14" s="35" t="s">
        <v>130</v>
      </c>
      <c r="D14" s="35" t="s">
        <v>109</v>
      </c>
      <c r="E14" s="35">
        <v>35226</v>
      </c>
      <c r="F14" s="65">
        <v>44755</v>
      </c>
      <c r="G14" s="67">
        <f t="shared" ca="1" si="0"/>
        <v>1356</v>
      </c>
      <c r="H14" s="35" t="str">
        <f>TEXT(Table6[[#This Row],[Joining Date]],"MMMM")</f>
        <v>July</v>
      </c>
      <c r="N14" s="72" t="s">
        <v>131</v>
      </c>
      <c r="O14" s="72" t="s">
        <v>132</v>
      </c>
    </row>
    <row r="15" spans="2:15">
      <c r="B15" s="41">
        <v>3013</v>
      </c>
      <c r="C15" s="35" t="s">
        <v>133</v>
      </c>
      <c r="D15" s="35" t="s">
        <v>113</v>
      </c>
      <c r="E15" s="35">
        <v>40872</v>
      </c>
      <c r="F15" s="65">
        <v>45005</v>
      </c>
      <c r="G15" s="67">
        <f t="shared" ca="1" si="0"/>
        <v>1106</v>
      </c>
      <c r="H15" s="35" t="str">
        <f>TEXT(Table6[[#This Row],[Joining Date]],"MMMM")</f>
        <v>March</v>
      </c>
      <c r="N15" s="73" t="s">
        <v>111</v>
      </c>
      <c r="O15" s="74">
        <f>AVERAGEIF(Table6[Department],"IT",Table6[Salary])</f>
        <v>86240.8</v>
      </c>
    </row>
    <row r="16" spans="2:15">
      <c r="B16" s="41">
        <v>3014</v>
      </c>
      <c r="C16" s="35" t="s">
        <v>134</v>
      </c>
      <c r="D16" s="35" t="s">
        <v>113</v>
      </c>
      <c r="E16" s="35">
        <v>55378</v>
      </c>
      <c r="F16" s="65">
        <v>45255</v>
      </c>
      <c r="G16" s="67">
        <f t="shared" ca="1" si="0"/>
        <v>856</v>
      </c>
      <c r="H16" s="35" t="str">
        <f>TEXT(Table6[[#This Row],[Joining Date]],"MMMM")</f>
        <v>November</v>
      </c>
      <c r="N16" s="73" t="s">
        <v>116</v>
      </c>
      <c r="O16" s="76">
        <f>AVERAGEIF(Table6[Department],"Marketing",Table6[Salary])</f>
        <v>84055.666666666672</v>
      </c>
    </row>
    <row r="17" spans="2:15">
      <c r="B17" s="41">
        <v>3015</v>
      </c>
      <c r="C17" s="35" t="s">
        <v>135</v>
      </c>
      <c r="D17" s="35" t="s">
        <v>113</v>
      </c>
      <c r="E17" s="35">
        <v>63297</v>
      </c>
      <c r="F17" s="65">
        <v>45505</v>
      </c>
      <c r="G17" s="67">
        <f t="shared" ca="1" si="0"/>
        <v>606</v>
      </c>
      <c r="H17" s="35" t="str">
        <f>TEXT(Table6[[#This Row],[Joining Date]],"MMMM")</f>
        <v>August</v>
      </c>
      <c r="N17" s="73" t="s">
        <v>109</v>
      </c>
      <c r="O17" s="76">
        <f>AVERAGEIF(Table6[Department],"Finance",Table6[Salary])</f>
        <v>80952.333333333328</v>
      </c>
    </row>
    <row r="18" spans="2:15">
      <c r="B18" s="41">
        <v>3016</v>
      </c>
      <c r="C18" s="35" t="s">
        <v>136</v>
      </c>
      <c r="D18" s="35" t="s">
        <v>109</v>
      </c>
      <c r="E18" s="35">
        <v>114173</v>
      </c>
      <c r="F18" s="65">
        <v>45755</v>
      </c>
      <c r="G18" s="67">
        <f t="shared" ca="1" si="0"/>
        <v>356</v>
      </c>
      <c r="H18" s="35" t="str">
        <f>TEXT(Table6[[#This Row],[Joining Date]],"MMMM")</f>
        <v>April</v>
      </c>
      <c r="N18" s="73" t="s">
        <v>113</v>
      </c>
      <c r="O18" s="76">
        <f>AVERAGEIF(Table6[Department],"HR",Table6[Salary])</f>
        <v>69618.833333333328</v>
      </c>
    </row>
    <row r="19" spans="2:15">
      <c r="B19" s="41">
        <v>3017</v>
      </c>
      <c r="C19" s="35" t="s">
        <v>137</v>
      </c>
      <c r="D19" s="35" t="s">
        <v>113</v>
      </c>
      <c r="E19" s="35">
        <v>86915</v>
      </c>
      <c r="F19" s="65">
        <v>46005</v>
      </c>
      <c r="G19" s="67">
        <f t="shared" ca="1" si="0"/>
        <v>106</v>
      </c>
      <c r="H19" s="35" t="str">
        <f>TEXT(Table6[[#This Row],[Joining Date]],"MMMM")</f>
        <v>December</v>
      </c>
    </row>
    <row r="20" spans="2:15">
      <c r="B20" s="41">
        <v>3018</v>
      </c>
      <c r="C20" s="35" t="s">
        <v>138</v>
      </c>
      <c r="D20" s="35" t="s">
        <v>111</v>
      </c>
      <c r="E20" s="35">
        <v>116284</v>
      </c>
      <c r="F20" s="65">
        <v>46255</v>
      </c>
      <c r="G20" s="61" t="str">
        <f t="shared" ca="1" si="0"/>
        <v>Not Joined Yet</v>
      </c>
      <c r="H20" s="35" t="str">
        <f>TEXT(Table6[[#This Row],[Joining Date]],"MMMM")</f>
        <v>August</v>
      </c>
    </row>
    <row r="21" spans="2:15">
      <c r="B21" s="41">
        <v>3019</v>
      </c>
      <c r="C21" s="35" t="s">
        <v>139</v>
      </c>
      <c r="D21" s="35" t="s">
        <v>116</v>
      </c>
      <c r="E21" s="35">
        <v>116283</v>
      </c>
      <c r="F21" s="65">
        <v>46505</v>
      </c>
      <c r="G21" s="61" t="str">
        <f t="shared" ca="1" si="0"/>
        <v>Not Joined Yet</v>
      </c>
      <c r="H21" s="35" t="str">
        <f>TEXT(Table6[[#This Row],[Joining Date]],"MMMM")</f>
        <v>April</v>
      </c>
    </row>
    <row r="22" spans="2:15">
      <c r="B22" s="43">
        <v>3020</v>
      </c>
      <c r="C22" s="44" t="s">
        <v>140</v>
      </c>
      <c r="D22" s="44" t="s">
        <v>116</v>
      </c>
      <c r="E22" s="44">
        <v>99924</v>
      </c>
      <c r="F22" s="66">
        <v>46755</v>
      </c>
      <c r="G22" s="61" t="str">
        <f t="shared" ca="1" si="0"/>
        <v>Not Joined Yet</v>
      </c>
      <c r="H22" s="44" t="str">
        <f>TEXT(Table6[[#This Row],[Joining Date]],"MMMM")</f>
        <v>January</v>
      </c>
    </row>
  </sheetData>
  <mergeCells count="2">
    <mergeCell ref="K2:L2"/>
    <mergeCell ref="K11:L1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2026-03-28T18:39:44Z</dcterms:created>
  <dcterms:modified xsi:type="dcterms:W3CDTF">2026-03-30T09:57:31Z</dcterms:modified>
  <cp:category/>
  <cp:contentStatus/>
</cp:coreProperties>
</file>