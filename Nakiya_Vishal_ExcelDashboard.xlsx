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om\Downloads\"/>
    </mc:Choice>
  </mc:AlternateContent>
  <bookViews>
    <workbookView xWindow="0" yWindow="0" windowWidth="20490" windowHeight="7455" firstSheet="2" activeTab="2"/>
  </bookViews>
  <sheets>
    <sheet name="Sheet2" sheetId="2" r:id="rId1"/>
    <sheet name="Advance_Formula" sheetId="3" r:id="rId2"/>
    <sheet name="Dashboard" sheetId="9" r:id="rId3"/>
    <sheet name="Region Vs TotalPrice" sheetId="5" r:id="rId4"/>
    <sheet name="Month Wise TotalPrice " sheetId="4" r:id="rId5"/>
    <sheet name="Product vs TotalPrice" sheetId="6" r:id="rId6"/>
    <sheet name="Region Vs Sum of Quantity" sheetId="7" r:id="rId7"/>
    <sheet name="PaymentMethod vs TotalPrice" sheetId="8" r:id="rId8"/>
  </sheets>
  <definedNames>
    <definedName name="Slicer_Months__Date">#N/A</definedName>
    <definedName name="Slicer_PaymentMethod">#N/A</definedName>
    <definedName name="Slicer_Region">#N/A</definedName>
  </definedNames>
  <calcPr calcId="152511"/>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3" l="1"/>
  <c r="D5" i="3"/>
  <c r="D3" i="3"/>
  <c r="C4" i="3"/>
  <c r="C5" i="3"/>
  <c r="C3" i="3"/>
  <c r="B3" i="3"/>
  <c r="B4" i="3"/>
  <c r="B5" i="3"/>
  <c r="G4" i="3" l="1"/>
  <c r="G3" i="3"/>
  <c r="G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2" i="3"/>
</calcChain>
</file>

<file path=xl/sharedStrings.xml><?xml version="1.0" encoding="utf-8"?>
<sst xmlns="http://schemas.openxmlformats.org/spreadsheetml/2006/main" count="972" uniqueCount="272">
  <si>
    <t>Date</t>
  </si>
  <si>
    <t>Region</t>
  </si>
  <si>
    <t>Product</t>
  </si>
  <si>
    <t>Quantity</t>
  </si>
  <si>
    <t>UnitPrice</t>
  </si>
  <si>
    <t>StoreLocation</t>
  </si>
  <si>
    <t>CustomerType</t>
  </si>
  <si>
    <t>Discount</t>
  </si>
  <si>
    <t>Salesperson</t>
  </si>
  <si>
    <t>TotalPrice</t>
  </si>
  <si>
    <t>PaymentMethod</t>
  </si>
  <si>
    <t>Returned</t>
  </si>
  <si>
    <t>OrderID</t>
  </si>
  <si>
    <t>CustomerName</t>
  </si>
  <si>
    <t>ShippingCost</t>
  </si>
  <si>
    <t>OrderDate</t>
  </si>
  <si>
    <t>DeliveryDate</t>
  </si>
  <si>
    <t>RegionManager</t>
  </si>
  <si>
    <t>East</t>
  </si>
  <si>
    <t>Laptop</t>
  </si>
  <si>
    <t>Store B</t>
  </si>
  <si>
    <t>Wholesale</t>
  </si>
  <si>
    <t>Eva</t>
  </si>
  <si>
    <t>Online</t>
  </si>
  <si>
    <t>REG100000</t>
  </si>
  <si>
    <t>Cust 6583</t>
  </si>
  <si>
    <t>Eric</t>
  </si>
  <si>
    <t>South</t>
  </si>
  <si>
    <t>Phone</t>
  </si>
  <si>
    <t>Store A</t>
  </si>
  <si>
    <t>Retail</t>
  </si>
  <si>
    <t>Alice</t>
  </si>
  <si>
    <t>Gift Card</t>
  </si>
  <si>
    <t>REG100001</t>
  </si>
  <si>
    <t>Cust 2144</t>
  </si>
  <si>
    <t>Sophie</t>
  </si>
  <si>
    <t>North</t>
  </si>
  <si>
    <t>Desk</t>
  </si>
  <si>
    <t>REG100002</t>
  </si>
  <si>
    <t>Cust 5998</t>
  </si>
  <si>
    <t>Ryan</t>
  </si>
  <si>
    <t>Central</t>
  </si>
  <si>
    <t>Chair</t>
  </si>
  <si>
    <t>Frank</t>
  </si>
  <si>
    <t>REG100003</t>
  </si>
  <si>
    <t>Cust 7136</t>
  </si>
  <si>
    <t>Cameron</t>
  </si>
  <si>
    <t>Store C</t>
  </si>
  <si>
    <t>Carlos</t>
  </si>
  <si>
    <t>REG100004</t>
  </si>
  <si>
    <t>Cust 6506</t>
  </si>
  <si>
    <t>Monitor</t>
  </si>
  <si>
    <t>Store D</t>
  </si>
  <si>
    <t>Diana</t>
  </si>
  <si>
    <t>Credit Card</t>
  </si>
  <si>
    <t>REG100005</t>
  </si>
  <si>
    <t>Cust 3909</t>
  </si>
  <si>
    <t>Debit Card</t>
  </si>
  <si>
    <t>REG100006</t>
  </si>
  <si>
    <t>Cust 7887</t>
  </si>
  <si>
    <t>Cash</t>
  </si>
  <si>
    <t>REG100007</t>
  </si>
  <si>
    <t>Cust 5301</t>
  </si>
  <si>
    <t>Bob</t>
  </si>
  <si>
    <t>REG100008</t>
  </si>
  <si>
    <t>Cust 2284</t>
  </si>
  <si>
    <t>West</t>
  </si>
  <si>
    <t>REG100009</t>
  </si>
  <si>
    <t>Cust 3732</t>
  </si>
  <si>
    <t>Wendy</t>
  </si>
  <si>
    <t>REG100010</t>
  </si>
  <si>
    <t>Cust 1462</t>
  </si>
  <si>
    <t>REG100011</t>
  </si>
  <si>
    <t>Cust 4330</t>
  </si>
  <si>
    <t>REG100012</t>
  </si>
  <si>
    <t>Cust 2372</t>
  </si>
  <si>
    <t>Tablet</t>
  </si>
  <si>
    <t>REG100013</t>
  </si>
  <si>
    <t>Cust 4672</t>
  </si>
  <si>
    <t>REG100014</t>
  </si>
  <si>
    <t>Cust 4548</t>
  </si>
  <si>
    <t>REG100015</t>
  </si>
  <si>
    <t>Cust 7037</t>
  </si>
  <si>
    <t>REG100016</t>
  </si>
  <si>
    <t>Cust 4975</t>
  </si>
  <si>
    <t>REG100017</t>
  </si>
  <si>
    <t>Cust 8014</t>
  </si>
  <si>
    <t>REG100018</t>
  </si>
  <si>
    <t>Cust 1228</t>
  </si>
  <si>
    <t>REG100019</t>
  </si>
  <si>
    <t>Cust 4247</t>
  </si>
  <si>
    <t>REG100020</t>
  </si>
  <si>
    <t>Cust 4199</t>
  </si>
  <si>
    <t>REG100021</t>
  </si>
  <si>
    <t>Cust 4186</t>
  </si>
  <si>
    <t>REG100022</t>
  </si>
  <si>
    <t>Cust 8137</t>
  </si>
  <si>
    <t>REG100023</t>
  </si>
  <si>
    <t>Cust 4638</t>
  </si>
  <si>
    <t>REG100024</t>
  </si>
  <si>
    <t>Cust 8538</t>
  </si>
  <si>
    <t>REG100025</t>
  </si>
  <si>
    <t>Cust 6322</t>
  </si>
  <si>
    <t>REG100026</t>
  </si>
  <si>
    <t>Cust 2609</t>
  </si>
  <si>
    <t>REG100027</t>
  </si>
  <si>
    <t>Cust 6880</t>
  </si>
  <si>
    <t>REG100028</t>
  </si>
  <si>
    <t>Cust 1997</t>
  </si>
  <si>
    <t>REG100029</t>
  </si>
  <si>
    <t>Cust 7072</t>
  </si>
  <si>
    <t>REG100030</t>
  </si>
  <si>
    <t>Cust 7201</t>
  </si>
  <si>
    <t>REG100031</t>
  </si>
  <si>
    <t>Cust 9923</t>
  </si>
  <si>
    <t>REG100032</t>
  </si>
  <si>
    <t>Cust 2205</t>
  </si>
  <si>
    <t>REG100033</t>
  </si>
  <si>
    <t>Cust 6403</t>
  </si>
  <si>
    <t>REG100034</t>
  </si>
  <si>
    <t>Cust 3953</t>
  </si>
  <si>
    <t>REG100035</t>
  </si>
  <si>
    <t>Cust 7902</t>
  </si>
  <si>
    <t>REG100036</t>
  </si>
  <si>
    <t>Cust 9968</t>
  </si>
  <si>
    <t>REG100037</t>
  </si>
  <si>
    <t>Cust 3787</t>
  </si>
  <si>
    <t>Printer</t>
  </si>
  <si>
    <t>REG100038</t>
  </si>
  <si>
    <t>Cust 2469</t>
  </si>
  <si>
    <t>REG100039</t>
  </si>
  <si>
    <t>Cust 6468</t>
  </si>
  <si>
    <t>REG100040</t>
  </si>
  <si>
    <t>Cust 5312</t>
  </si>
  <si>
    <t>REG100041</t>
  </si>
  <si>
    <t>Cust 1482</t>
  </si>
  <si>
    <t>REG100042</t>
  </si>
  <si>
    <t>Cust 7903</t>
  </si>
  <si>
    <t>REG100043</t>
  </si>
  <si>
    <t>Cust 9605</t>
  </si>
  <si>
    <t>REG100044</t>
  </si>
  <si>
    <t>Cust 3298</t>
  </si>
  <si>
    <t>REG100045</t>
  </si>
  <si>
    <t>Cust 5533</t>
  </si>
  <si>
    <t>REG100046</t>
  </si>
  <si>
    <t>Cust 6362</t>
  </si>
  <si>
    <t>REG100047</t>
  </si>
  <si>
    <t>Cust 4826</t>
  </si>
  <si>
    <t>REG100048</t>
  </si>
  <si>
    <t>Cust 2171</t>
  </si>
  <si>
    <t>REG100049</t>
  </si>
  <si>
    <t>Cust 4005</t>
  </si>
  <si>
    <t>REG100050</t>
  </si>
  <si>
    <t>Cust 7032</t>
  </si>
  <si>
    <t>REG100051</t>
  </si>
  <si>
    <t>Cust 7167</t>
  </si>
  <si>
    <t>REG100052</t>
  </si>
  <si>
    <t>Cust 5702</t>
  </si>
  <si>
    <t>REG100053</t>
  </si>
  <si>
    <t>Cust 4944</t>
  </si>
  <si>
    <t>REG100054</t>
  </si>
  <si>
    <t>Cust 8149</t>
  </si>
  <si>
    <t>REG100055</t>
  </si>
  <si>
    <t>Cust 3638</t>
  </si>
  <si>
    <t>REG100056</t>
  </si>
  <si>
    <t>Cust 9973</t>
  </si>
  <si>
    <t>REG100057</t>
  </si>
  <si>
    <t>Cust 4214</t>
  </si>
  <si>
    <t>REG100058</t>
  </si>
  <si>
    <t>Cust 2647</t>
  </si>
  <si>
    <t>REG100059</t>
  </si>
  <si>
    <t>Cust 3552</t>
  </si>
  <si>
    <t>REG100060</t>
  </si>
  <si>
    <t>Cust 3354</t>
  </si>
  <si>
    <t>REG100061</t>
  </si>
  <si>
    <t>Cust 3903</t>
  </si>
  <si>
    <t>REG100062</t>
  </si>
  <si>
    <t>Cust 5358</t>
  </si>
  <si>
    <t>REG100063</t>
  </si>
  <si>
    <t>Cust 8144</t>
  </si>
  <si>
    <t>REG100064</t>
  </si>
  <si>
    <t>Cust 6747</t>
  </si>
  <si>
    <t>REG100065</t>
  </si>
  <si>
    <t>Cust 8330</t>
  </si>
  <si>
    <t>REG100066</t>
  </si>
  <si>
    <t>Cust 7186</t>
  </si>
  <si>
    <t>REG100067</t>
  </si>
  <si>
    <t>Cust 8287</t>
  </si>
  <si>
    <t>REG100068</t>
  </si>
  <si>
    <t>Cust 3986</t>
  </si>
  <si>
    <t>REG100069</t>
  </si>
  <si>
    <t>Cust 3213</t>
  </si>
  <si>
    <t>REG100070</t>
  </si>
  <si>
    <t>Cust 1907</t>
  </si>
  <si>
    <t>REG100071</t>
  </si>
  <si>
    <t>Cust 4639</t>
  </si>
  <si>
    <t>REG100072</t>
  </si>
  <si>
    <t>Cust 4153</t>
  </si>
  <si>
    <t>REG100073</t>
  </si>
  <si>
    <t>Cust 7096</t>
  </si>
  <si>
    <t>REG100074</t>
  </si>
  <si>
    <t>Cust 3806</t>
  </si>
  <si>
    <t>REG100075</t>
  </si>
  <si>
    <t>Cust 9345</t>
  </si>
  <si>
    <t>REG100076</t>
  </si>
  <si>
    <t>Cust 4456</t>
  </si>
  <si>
    <t>REG100077</t>
  </si>
  <si>
    <t>Cust 1089</t>
  </si>
  <si>
    <t>REG100078</t>
  </si>
  <si>
    <t>Cust 7230</t>
  </si>
  <si>
    <t>REG100079</t>
  </si>
  <si>
    <t>Cust 6597</t>
  </si>
  <si>
    <t>REG100080</t>
  </si>
  <si>
    <t>Cust 4108</t>
  </si>
  <si>
    <t>REG100081</t>
  </si>
  <si>
    <t>Cust 2883</t>
  </si>
  <si>
    <t>REG100082</t>
  </si>
  <si>
    <t>Cust 5018</t>
  </si>
  <si>
    <t>REG100083</t>
  </si>
  <si>
    <t>Cust 1231</t>
  </si>
  <si>
    <t>REG100084</t>
  </si>
  <si>
    <t>Cust 2209</t>
  </si>
  <si>
    <t>REG100085</t>
  </si>
  <si>
    <t>Cust 6684</t>
  </si>
  <si>
    <t>REG100086</t>
  </si>
  <si>
    <t>Cust 5289</t>
  </si>
  <si>
    <t>REG100087</t>
  </si>
  <si>
    <t>Cust 9159</t>
  </si>
  <si>
    <t>REG100088</t>
  </si>
  <si>
    <t>Cust 4844</t>
  </si>
  <si>
    <t>REG100089</t>
  </si>
  <si>
    <t>Cust 3273</t>
  </si>
  <si>
    <t>REG100090</t>
  </si>
  <si>
    <t>Cust 8160</t>
  </si>
  <si>
    <t>REG100091</t>
  </si>
  <si>
    <t>Cust 4439</t>
  </si>
  <si>
    <t>REG100092</t>
  </si>
  <si>
    <t>Cust 1127</t>
  </si>
  <si>
    <t>REG100093</t>
  </si>
  <si>
    <t>Cust 4696</t>
  </si>
  <si>
    <t>REG100094</t>
  </si>
  <si>
    <t>Cust 3014</t>
  </si>
  <si>
    <t>REG100095</t>
  </si>
  <si>
    <t>Cust 2539</t>
  </si>
  <si>
    <t>REG100096</t>
  </si>
  <si>
    <t>Cust 3916</t>
  </si>
  <si>
    <t>REG100097</t>
  </si>
  <si>
    <t>Cust 6329</t>
  </si>
  <si>
    <t>REG100098</t>
  </si>
  <si>
    <t>Cust 4384</t>
  </si>
  <si>
    <t>VLOOKUP</t>
  </si>
  <si>
    <t>Grand Total</t>
  </si>
  <si>
    <t>Jan</t>
  </si>
  <si>
    <t>Feb</t>
  </si>
  <si>
    <t>Mar</t>
  </si>
  <si>
    <t>Apr</t>
  </si>
  <si>
    <t>May</t>
  </si>
  <si>
    <t>Jun</t>
  </si>
  <si>
    <t>Jul</t>
  </si>
  <si>
    <t>Aug</t>
  </si>
  <si>
    <t>Sep</t>
  </si>
  <si>
    <t>Oct</t>
  </si>
  <si>
    <t>Nov</t>
  </si>
  <si>
    <t>Dec</t>
  </si>
  <si>
    <t>Sum of TotalPrice</t>
  </si>
  <si>
    <t>Months (Date)</t>
  </si>
  <si>
    <t>Index Match</t>
  </si>
  <si>
    <t>Max Purchase</t>
  </si>
  <si>
    <t>If Condition</t>
  </si>
  <si>
    <t>Product2</t>
  </si>
  <si>
    <t>Sum of Quantity</t>
  </si>
  <si>
    <t>Sales Report Of  - 2023,2024,2025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</si>
</sst>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numFmts>
  <fonts count="3" x14ac:knownFonts="1">
    <font>
      <sz val="11"/>
      <color theme="1"/>
      <name val="Calibri"/>
      <family val="2"/>
      <scheme val="minor"/>
    </font>
    <font>
      <b/>
      <sz val="11"/>
      <color theme="1"/>
      <name val="Calibri"/>
      <family val="2"/>
      <scheme val="minor"/>
    </font>
    <font>
      <sz val="20"/>
      <color rgb="FFFFFF00"/>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rgb="FF002060"/>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auto="1"/>
      </top>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38">
    <xf numFmtId="0" fontId="0" fillId="0" borderId="0" xfId="0"/>
    <xf numFmtId="0" fontId="1" fillId="0" borderId="2" xfId="0" applyFont="1" applyBorder="1" applyAlignment="1">
      <alignment horizontal="center" vertical="top"/>
    </xf>
    <xf numFmtId="164" fontId="0" fillId="0" borderId="1" xfId="0" applyNumberFormat="1" applyBorder="1" applyAlignment="1">
      <alignment horizontal="center"/>
    </xf>
    <xf numFmtId="0" fontId="0" fillId="0" borderId="1" xfId="0" applyBorder="1" applyAlignment="1">
      <alignment horizontal="center"/>
    </xf>
    <xf numFmtId="0" fontId="0" fillId="0" borderId="0" xfId="0" pivotButton="1"/>
    <xf numFmtId="0" fontId="0" fillId="0" borderId="0" xfId="0" applyNumberFormat="1"/>
    <xf numFmtId="0" fontId="0" fillId="3" borderId="1" xfId="0" applyFont="1" applyFill="1" applyBorder="1" applyAlignment="1">
      <alignment horizontal="center"/>
    </xf>
    <xf numFmtId="164" fontId="0" fillId="3" borderId="1" xfId="0" applyNumberFormat="1" applyFont="1" applyFill="1" applyBorder="1" applyAlignment="1">
      <alignment horizontal="center"/>
    </xf>
    <xf numFmtId="0" fontId="0" fillId="0" borderId="1" xfId="0" applyFont="1" applyBorder="1" applyAlignment="1">
      <alignment horizontal="center"/>
    </xf>
    <xf numFmtId="164" fontId="0" fillId="0" borderId="1" xfId="0" applyNumberFormat="1" applyFont="1" applyBorder="1" applyAlignment="1">
      <alignment horizontal="center"/>
    </xf>
    <xf numFmtId="0" fontId="0" fillId="4" borderId="1" xfId="0" applyFont="1" applyFill="1" applyBorder="1" applyAlignment="1">
      <alignment horizontal="center"/>
    </xf>
    <xf numFmtId="0" fontId="0" fillId="0" borderId="0" xfId="0" applyBorder="1"/>
    <xf numFmtId="0" fontId="0" fillId="0" borderId="3" xfId="0" applyBorder="1"/>
    <xf numFmtId="0" fontId="0" fillId="0" borderId="4" xfId="0" applyBorder="1"/>
    <xf numFmtId="0" fontId="0" fillId="0" borderId="5" xfId="0" applyBorder="1"/>
    <xf numFmtId="0" fontId="0" fillId="0" borderId="1" xfId="0" applyBorder="1"/>
    <xf numFmtId="0" fontId="0" fillId="0" borderId="6" xfId="0" applyBorder="1"/>
    <xf numFmtId="0" fontId="0" fillId="0" borderId="7" xfId="0" applyBorder="1"/>
    <xf numFmtId="0" fontId="0" fillId="0" borderId="6" xfId="0" applyBorder="1" applyAlignment="1">
      <alignment horizontal="center"/>
    </xf>
    <xf numFmtId="0" fontId="0" fillId="0" borderId="4" xfId="0" applyBorder="1" applyAlignment="1">
      <alignment horizontal="center"/>
    </xf>
    <xf numFmtId="0" fontId="0" fillId="0" borderId="7" xfId="0" applyBorder="1" applyAlignment="1">
      <alignment horizontal="center"/>
    </xf>
    <xf numFmtId="0" fontId="0" fillId="0" borderId="5" xfId="0" applyBorder="1" applyAlignment="1">
      <alignment horizontal="center"/>
    </xf>
    <xf numFmtId="0" fontId="0" fillId="2" borderId="8" xfId="0" applyFill="1" applyBorder="1" applyAlignment="1">
      <alignment horizontal="center"/>
    </xf>
    <xf numFmtId="0" fontId="0" fillId="2" borderId="10" xfId="0" applyFill="1" applyBorder="1" applyAlignment="1">
      <alignment horizontal="center"/>
    </xf>
    <xf numFmtId="0" fontId="0" fillId="2" borderId="9" xfId="0" applyFill="1" applyBorder="1" applyAlignment="1">
      <alignment horizontal="center"/>
    </xf>
    <xf numFmtId="0" fontId="0" fillId="2" borderId="1" xfId="0" applyFill="1" applyBorder="1" applyAlignment="1">
      <alignment horizontal="center"/>
    </xf>
    <xf numFmtId="0" fontId="0" fillId="5" borderId="11" xfId="0" applyFill="1" applyBorder="1" applyAlignment="1">
      <alignment horizontal="center"/>
    </xf>
    <xf numFmtId="0" fontId="0" fillId="5" borderId="13" xfId="0" applyFill="1" applyBorder="1" applyAlignment="1">
      <alignment horizontal="center"/>
    </xf>
    <xf numFmtId="0" fontId="0" fillId="5" borderId="6" xfId="0" applyFill="1" applyBorder="1" applyAlignment="1">
      <alignment horizontal="center"/>
    </xf>
    <xf numFmtId="0" fontId="0" fillId="5" borderId="0" xfId="0" applyFill="1" applyBorder="1" applyAlignment="1">
      <alignment horizontal="center"/>
    </xf>
    <xf numFmtId="0" fontId="0" fillId="5" borderId="4" xfId="0" applyFill="1" applyBorder="1" applyAlignment="1">
      <alignment horizontal="center"/>
    </xf>
    <xf numFmtId="0" fontId="0" fillId="5" borderId="6" xfId="0" applyFill="1" applyBorder="1"/>
    <xf numFmtId="0" fontId="0" fillId="5" borderId="0" xfId="0" applyFill="1" applyBorder="1"/>
    <xf numFmtId="0" fontId="0" fillId="5" borderId="4" xfId="0" applyFill="1" applyBorder="1"/>
    <xf numFmtId="0" fontId="0" fillId="5" borderId="7" xfId="0" applyFill="1" applyBorder="1"/>
    <xf numFmtId="0" fontId="0" fillId="5" borderId="3" xfId="0" applyFill="1" applyBorder="1"/>
    <xf numFmtId="0" fontId="0" fillId="5" borderId="5" xfId="0" applyFill="1" applyBorder="1"/>
    <xf numFmtId="0" fontId="2" fillId="5" borderId="12" xfId="0" applyFont="1" applyFill="1" applyBorder="1" applyAlignment="1">
      <alignment horizontal="center"/>
    </xf>
  </cellXfs>
  <cellStyles count="1">
    <cellStyle name="Normal" xfId="0" builtinId="0"/>
  </cellStyles>
  <dxfs count="22">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yyyy\-mm\-dd"/>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yyyy\-mm\-dd"/>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yyyy\-mm\-dd"/>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[Nakiya_Vishal_ExcelDashboard.xlsx]Region Vs Sum of Quantity!PivotTable1</c:name>
    <c:fmtId val="4"/>
  </c:pivotSource>
  <c:chart>
    <c:autoTitleDeleted val="1"/>
    <c:pivotFmts>
      <c:pivotFmt>
        <c:idx val="0"/>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pivotFmt>
      <c:pivotFmt>
        <c:idx val="1"/>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pivotFmt>
      <c:pivotFmt>
        <c:idx val="2"/>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927559055118111"/>
          <c:y val="0.18198855351414409"/>
          <c:w val="0.57531692913385823"/>
          <c:h val="0.61801946631671045"/>
        </c:manualLayout>
      </c:layout>
      <c:bar3DChart>
        <c:barDir val="bar"/>
        <c:grouping val="clustered"/>
        <c:varyColors val="0"/>
        <c:ser>
          <c:idx val="0"/>
          <c:order val="0"/>
          <c:tx>
            <c:strRef>
              <c:f>'Region Vs Sum of Quantity'!$B$3</c:f>
              <c:strCache>
                <c:ptCount val="1"/>
                <c:pt idx="0">
                  <c:v>Total</c:v>
                </c:pt>
              </c:strCache>
            </c:strRef>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'Region Vs Sum of Quantity'!$A$4:$A$9</c:f>
              <c:strCache>
                <c:ptCount val="5"/>
                <c:pt idx="0">
                  <c:v>Central</c:v>
                </c:pt>
                <c:pt idx="1">
                  <c:v>East</c:v>
                </c:pt>
                <c:pt idx="2">
                  <c:v>North</c:v>
                </c:pt>
                <c:pt idx="3">
                  <c:v>South</c:v>
                </c:pt>
                <c:pt idx="4">
                  <c:v>West</c:v>
                </c:pt>
              </c:strCache>
            </c:strRef>
          </c:cat>
          <c:val>
            <c:numRef>
              <c:f>'Region Vs Sum of Quantity'!$B$4:$B$9</c:f>
              <c:numCache>
                <c:formatCode>General</c:formatCode>
                <c:ptCount val="5"/>
                <c:pt idx="0">
                  <c:v>287</c:v>
                </c:pt>
                <c:pt idx="1">
                  <c:v>217</c:v>
                </c:pt>
                <c:pt idx="2">
                  <c:v>169</c:v>
                </c:pt>
                <c:pt idx="3">
                  <c:v>180</c:v>
                </c:pt>
                <c:pt idx="4">
                  <c:v>201</c:v>
                </c:pt>
              </c:numCache>
            </c:numRef>
          </c:val>
        </c:ser>
        <c:dLbls>
          <c:showLegendKey val="0"/>
          <c:showVal val="1"/>
          <c:showCatName val="0"/>
          <c:showSerName val="0"/>
          <c:showPercent val="0"/>
          <c:showBubbleSize val="0"/>
        </c:dLbls>
        <c:gapWidth val="150"/>
        <c:shape val="box"/>
        <c:axId val="-364945600"/>
        <c:axId val="-364943424"/>
        <c:axId val="0"/>
      </c:bar3DChart>
      <c:catAx>
        <c:axId val="-3649456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64943424"/>
        <c:crosses val="autoZero"/>
        <c:auto val="1"/>
        <c:lblAlgn val="ctr"/>
        <c:lblOffset val="100"/>
        <c:noMultiLvlLbl val="0"/>
      </c:catAx>
      <c:valAx>
        <c:axId val="-364943424"/>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649456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[Nakiya_Vishal_ExcelDashboard.xlsx]Month Wise TotalPrice !PivotTable1</c:name>
    <c:fmtId val="10"/>
  </c:pivotSource>
  <c:chart>
    <c:title>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s>
    <c:plotArea>
      <c:layout/>
      <c:lineChart>
        <c:grouping val="standard"/>
        <c:varyColors val="0"/>
        <c:ser>
          <c:idx val="0"/>
          <c:order val="0"/>
          <c:tx>
            <c:strRef>
              <c:f>'Month Wise TotalPrice '!$B$3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'Month Wise TotalPrice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Wise TotalPrice '!$B$4:$B$16</c:f>
              <c:numCache>
                <c:formatCode>General</c:formatCode>
                <c:ptCount val="12"/>
                <c:pt idx="0">
                  <c:v>35526.483</c:v>
                </c:pt>
                <c:pt idx="1">
                  <c:v>37971.304000000004</c:v>
                </c:pt>
                <c:pt idx="2">
                  <c:v>41071.667499999996</c:v>
                </c:pt>
                <c:pt idx="3">
                  <c:v>27095.969499999999</c:v>
                </c:pt>
                <c:pt idx="4">
                  <c:v>36831.326499999996</c:v>
                </c:pt>
                <c:pt idx="5">
                  <c:v>22365.816999999995</c:v>
                </c:pt>
                <c:pt idx="6">
                  <c:v>18750.3285</c:v>
                </c:pt>
                <c:pt idx="7">
                  <c:v>6938.1840000000011</c:v>
                </c:pt>
                <c:pt idx="8">
                  <c:v>6626.2020000000002</c:v>
                </c:pt>
                <c:pt idx="9">
                  <c:v>27776.313499999997</c:v>
                </c:pt>
                <c:pt idx="10">
                  <c:v>26981.652499999997</c:v>
                </c:pt>
                <c:pt idx="11">
                  <c:v>20919.361000000001</c:v>
                </c:pt>
              </c:numCache>
            </c:numRef>
          </c:val>
          <c:smooth val="0"/>
          <c:extLst xmlns:c16r2="http://schemas.microsoft.com/office/drawing/2015/06/chart">
            <c:ext xmlns:c16="http://schemas.microsoft.com/office/drawing/2014/chart" uri="{C3380CC4-5D6E-409C-BE32-E72D297353CC}">
              <c16:uniqueId val="{00000000-B7A5-442B-B5F2-68095E02DD46}"/>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93971488"/>
        <c:axId val="-293970944"/>
      </c:lineChart>
      <c:catAx>
        <c:axId val="-29397148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93970944"/>
        <c:crosses val="autoZero"/>
        <c:auto val="1"/>
        <c:lblAlgn val="ctr"/>
        <c:lblOffset val="100"/>
        <c:noMultiLvlLbl val="0"/>
      </c:catAx>
      <c:valAx>
        <c:axId val="-293970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93971488"/>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[Nakiya_Vishal_ExcelDashboard.xlsx]Region Vs TotalPrice!PivotTable2</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 Vs TotalPrice'!$B$3</c:f>
              <c:strCache>
                <c:ptCount val="1"/>
                <c:pt idx="0">
                  <c:v>Total</c:v>
                </c:pt>
              </c:strCache>
            </c:strRef>
          </c:tx>
          <c:spPr>
            <a:solidFill>
              <a:schemeClr val="accent1"/>
            </a:solidFill>
            <a:ln>
              <a:noFill/>
            </a:ln>
            <a:effectLst/>
            <a:sp3d/>
          </c:spPr>
          <c:invertIfNegative val="0"/>
          <c:cat>
            <c:strRef>
              <c:f>'Region Vs TotalPrice'!$A$4:$A$9</c:f>
              <c:strCache>
                <c:ptCount val="5"/>
                <c:pt idx="0">
                  <c:v>Central</c:v>
                </c:pt>
                <c:pt idx="1">
                  <c:v>East</c:v>
                </c:pt>
                <c:pt idx="2">
                  <c:v>North</c:v>
                </c:pt>
                <c:pt idx="3">
                  <c:v>South</c:v>
                </c:pt>
                <c:pt idx="4">
                  <c:v>West</c:v>
                </c:pt>
              </c:strCache>
            </c:strRef>
          </c:cat>
          <c:val>
            <c:numRef>
              <c:f>'Region Vs TotalPrice'!$B$4:$B$9</c:f>
              <c:numCache>
                <c:formatCode>General</c:formatCode>
                <c:ptCount val="5"/>
                <c:pt idx="0">
                  <c:v>93552.871000000028</c:v>
                </c:pt>
                <c:pt idx="1">
                  <c:v>56705.127499999988</c:v>
                </c:pt>
                <c:pt idx="2">
                  <c:v>56432.544999999991</c:v>
                </c:pt>
                <c:pt idx="3">
                  <c:v>59673.343499999995</c:v>
                </c:pt>
                <c:pt idx="4">
                  <c:v>42490.721999999994</c:v>
                </c:pt>
              </c:numCache>
            </c:numRef>
          </c:val>
          <c:extLst xmlns:c16r2="http://schemas.microsoft.com/office/drawing/2015/06/chart">
            <c:ext xmlns:c16="http://schemas.microsoft.com/office/drawing/2014/chart" uri="{C3380CC4-5D6E-409C-BE32-E72D297353CC}">
              <c16:uniqueId val="{00000000-FE6A-48A3-B2E0-71586A400868}"/>
            </c:ext>
          </c:extLst>
        </c:ser>
        <c:dLbls>
          <c:showLegendKey val="0"/>
          <c:showVal val="0"/>
          <c:showCatName val="0"/>
          <c:showSerName val="0"/>
          <c:showPercent val="0"/>
          <c:showBubbleSize val="0"/>
        </c:dLbls>
        <c:gapWidth val="150"/>
        <c:shape val="box"/>
        <c:axId val="-293973120"/>
        <c:axId val="-293972576"/>
        <c:axId val="0"/>
      </c:bar3DChart>
      <c:catAx>
        <c:axId val="-293973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972576"/>
        <c:crosses val="autoZero"/>
        <c:auto val="1"/>
        <c:lblAlgn val="ctr"/>
        <c:lblOffset val="100"/>
        <c:noMultiLvlLbl val="0"/>
      </c:catAx>
      <c:valAx>
        <c:axId val="-293972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9731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[Nakiya_Vishal_ExcelDashboard.xlsx]Product vs TotalPrice!PivotTable3</c:name>
    <c:fmtId val="6"/>
  </c:pivotSource>
  <c:chart>
    <c:title>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'Product vs TotalPrice'!$B$3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'Product vs TotalPrice'!$A$4:$A$11</c:f>
              <c:strCache>
                <c:ptCount val="7"/>
                <c:pt idx="0">
                  <c:v>Chair</c:v>
                </c:pt>
                <c:pt idx="1">
                  <c:v>Desk</c:v>
                </c:pt>
                <c:pt idx="2">
                  <c:v>Laptop</c:v>
                </c:pt>
                <c:pt idx="3">
                  <c:v>Monitor</c:v>
                </c:pt>
                <c:pt idx="4">
                  <c:v>Phone</c:v>
                </c:pt>
                <c:pt idx="5">
                  <c:v>Printer</c:v>
                </c:pt>
                <c:pt idx="6">
                  <c:v>Tablet</c:v>
                </c:pt>
              </c:strCache>
            </c:strRef>
          </c:cat>
          <c:val>
            <c:numRef>
              <c:f>'Product vs TotalPrice'!$B$4:$B$11</c:f>
              <c:numCache>
                <c:formatCode>General</c:formatCode>
                <c:ptCount val="7"/>
                <c:pt idx="0">
                  <c:v>47507.756499999996</c:v>
                </c:pt>
                <c:pt idx="1">
                  <c:v>61269.575999999994</c:v>
                </c:pt>
                <c:pt idx="2">
                  <c:v>55555.426500000001</c:v>
                </c:pt>
                <c:pt idx="3">
                  <c:v>24137.040000000001</c:v>
                </c:pt>
                <c:pt idx="4">
                  <c:v>44999.142999999996</c:v>
                </c:pt>
                <c:pt idx="5">
                  <c:v>21996.18</c:v>
                </c:pt>
                <c:pt idx="6">
                  <c:v>53389.487000000008</c:v>
                </c:pt>
              </c:numCache>
            </c:numRef>
          </c:val>
          <c:extLst xmlns:c16r2="http://schemas.microsoft.com/office/drawing/2015/06/chart">
            <c:ext xmlns:c16="http://schemas.microsoft.com/office/drawing/2014/chart" uri="{C3380CC4-5D6E-409C-BE32-E72D297353CC}">
              <c16:uniqueId val="{00000000-27C3-41DA-8345-4E5BDC04DFA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[Nakiya_Vishal_ExcelDashboard.xlsx]PaymentMethod vs TotalPrice!PivotTable2</c:name>
    <c:fmtId val="4"/>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'PaymentMethod vs TotalPrice'!$B$3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Pt>
            <c:idx val="3"/>
            <c:bubble3D val="0"/>
            <c:spPr>
              <a:solidFill>
                <a:schemeClr val="accent4"/>
              </a:solidFill>
              <a:ln>
                <a:noFill/>
              </a:ln>
              <a:effectLst>
                <a:outerShdw blurRad="254000" sx="102000" sy="102000" algn="ctr" rotWithShape="0">
                  <a:prstClr val="black">
                    <a:alpha val="20000"/>
                  </a:prstClr>
                </a:outerShdw>
              </a:effectLst>
              <a:sp3d/>
            </c:spPr>
          </c:dPt>
          <c:dPt>
            <c:idx val="4"/>
            <c:bubble3D val="0"/>
            <c:spPr>
              <a:solidFill>
                <a:schemeClr val="accent5"/>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'PaymentMethod vs TotalPrice'!$A$4:$A$9</c:f>
              <c:strCache>
                <c:ptCount val="5"/>
                <c:pt idx="0">
                  <c:v>Cash</c:v>
                </c:pt>
                <c:pt idx="1">
                  <c:v>Credit Card</c:v>
                </c:pt>
                <c:pt idx="2">
                  <c:v>Debit Card</c:v>
                </c:pt>
                <c:pt idx="3">
                  <c:v>Gift Card</c:v>
                </c:pt>
                <c:pt idx="4">
                  <c:v>Online</c:v>
                </c:pt>
              </c:strCache>
            </c:strRef>
          </c:cat>
          <c:val>
            <c:numRef>
              <c:f>'PaymentMethod vs TotalPrice'!$B$4:$B$9</c:f>
              <c:numCache>
                <c:formatCode>General</c:formatCode>
                <c:ptCount val="5"/>
                <c:pt idx="0">
                  <c:v>36578.335999999996</c:v>
                </c:pt>
                <c:pt idx="1">
                  <c:v>63489.49</c:v>
                </c:pt>
                <c:pt idx="2">
                  <c:v>27929.255999999994</c:v>
                </c:pt>
                <c:pt idx="3">
                  <c:v>78911.626499999998</c:v>
                </c:pt>
                <c:pt idx="4">
                  <c:v>101945.90050000002</c:v>
                </c:pt>
              </c:numCache>
            </c:numRef>
          </c:val>
        </c:ser>
        <c:dLbls>
          <c:dLblPos val="ctr"/>
          <c:showLegendKey val="0"/>
          <c:showVal val="0"/>
          <c:showCatName val="0"/>
          <c:showSerName val="0"/>
          <c:showPercent val="1"/>
          <c:showBubbleSize val="0"/>
          <c:showLeaderLines val="1"/>
        </c:dLbls>
      </c:pie3D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[Nakiya_Vishal_ExcelDashboard.xlsx]Region Vs TotalPrice!PivotTable2</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 Vs TotalPrice'!$B$3</c:f>
              <c:strCache>
                <c:ptCount val="1"/>
                <c:pt idx="0">
                  <c:v>Total</c:v>
                </c:pt>
              </c:strCache>
            </c:strRef>
          </c:tx>
          <c:spPr>
            <a:solidFill>
              <a:schemeClr val="accent1"/>
            </a:solidFill>
            <a:ln>
              <a:noFill/>
            </a:ln>
            <a:effectLst/>
            <a:sp3d/>
          </c:spPr>
          <c:invertIfNegative val="0"/>
          <c:cat>
            <c:strRef>
              <c:f>'Region Vs TotalPrice'!$A$4:$A$9</c:f>
              <c:strCache>
                <c:ptCount val="5"/>
                <c:pt idx="0">
                  <c:v>Central</c:v>
                </c:pt>
                <c:pt idx="1">
                  <c:v>East</c:v>
                </c:pt>
                <c:pt idx="2">
                  <c:v>North</c:v>
                </c:pt>
                <c:pt idx="3">
                  <c:v>South</c:v>
                </c:pt>
                <c:pt idx="4">
                  <c:v>West</c:v>
                </c:pt>
              </c:strCache>
            </c:strRef>
          </c:cat>
          <c:val>
            <c:numRef>
              <c:f>'Region Vs TotalPrice'!$B$4:$B$9</c:f>
              <c:numCache>
                <c:formatCode>General</c:formatCode>
                <c:ptCount val="5"/>
                <c:pt idx="0">
                  <c:v>93552.871000000028</c:v>
                </c:pt>
                <c:pt idx="1">
                  <c:v>56705.127499999988</c:v>
                </c:pt>
                <c:pt idx="2">
                  <c:v>56432.544999999991</c:v>
                </c:pt>
                <c:pt idx="3">
                  <c:v>59673.343499999995</c:v>
                </c:pt>
                <c:pt idx="4">
                  <c:v>42490.721999999994</c:v>
                </c:pt>
              </c:numCache>
            </c:numRef>
          </c:val>
          <c:extLst xmlns:c16r2="http://schemas.microsoft.com/office/drawing/2015/06/chart">
            <c:ext xmlns:c16="http://schemas.microsoft.com/office/drawing/2014/chart" uri="{C3380CC4-5D6E-409C-BE32-E72D297353CC}">
              <c16:uniqueId val="{00000000-FE6A-48A3-B2E0-71586A400868}"/>
            </c:ext>
          </c:extLst>
        </c:ser>
        <c:dLbls>
          <c:showLegendKey val="0"/>
          <c:showVal val="0"/>
          <c:showCatName val="0"/>
          <c:showSerName val="0"/>
          <c:showPercent val="0"/>
          <c:showBubbleSize val="0"/>
        </c:dLbls>
        <c:gapWidth val="150"/>
        <c:shape val="box"/>
        <c:axId val="-401174736"/>
        <c:axId val="-401169840"/>
        <c:axId val="0"/>
      </c:bar3DChart>
      <c:catAx>
        <c:axId val="-401174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169840"/>
        <c:crosses val="autoZero"/>
        <c:auto val="1"/>
        <c:lblAlgn val="ctr"/>
        <c:lblOffset val="100"/>
        <c:noMultiLvlLbl val="0"/>
      </c:catAx>
      <c:valAx>
        <c:axId val="-401169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1747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[Nakiya_Vishal_ExcelDashboard.xlsx]Month Wise TotalPrice !PivotTable1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s>
    <c:plotArea>
      <c:layout/>
      <c:lineChart>
        <c:grouping val="standard"/>
        <c:varyColors val="0"/>
        <c:ser>
          <c:idx val="0"/>
          <c:order val="0"/>
          <c:tx>
            <c:strRef>
              <c:f>'Month Wise TotalPrice '!$B$3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'Month Wise TotalPrice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Wise TotalPrice '!$B$4:$B$16</c:f>
              <c:numCache>
                <c:formatCode>General</c:formatCode>
                <c:ptCount val="12"/>
                <c:pt idx="0">
                  <c:v>35526.483</c:v>
                </c:pt>
                <c:pt idx="1">
                  <c:v>37971.304000000004</c:v>
                </c:pt>
                <c:pt idx="2">
                  <c:v>41071.667499999996</c:v>
                </c:pt>
                <c:pt idx="3">
                  <c:v>27095.969499999999</c:v>
                </c:pt>
                <c:pt idx="4">
                  <c:v>36831.326499999996</c:v>
                </c:pt>
                <c:pt idx="5">
                  <c:v>22365.816999999995</c:v>
                </c:pt>
                <c:pt idx="6">
                  <c:v>18750.3285</c:v>
                </c:pt>
                <c:pt idx="7">
                  <c:v>6938.1840000000011</c:v>
                </c:pt>
                <c:pt idx="8">
                  <c:v>6626.2020000000002</c:v>
                </c:pt>
                <c:pt idx="9">
                  <c:v>27776.313499999997</c:v>
                </c:pt>
                <c:pt idx="10">
                  <c:v>26981.652499999997</c:v>
                </c:pt>
                <c:pt idx="11">
                  <c:v>20919.361000000001</c:v>
                </c:pt>
              </c:numCache>
            </c:numRef>
          </c:val>
          <c:smooth val="0"/>
          <c:extLst xmlns:c16r2="http://schemas.microsoft.com/office/drawing/2015/06/chart">
            <c:ext xmlns:c16="http://schemas.microsoft.com/office/drawing/2014/chart" uri="{C3380CC4-5D6E-409C-BE32-E72D297353CC}">
              <c16:uniqueId val="{00000000-B7A5-442B-B5F2-68095E02DD46}"/>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01170928"/>
        <c:axId val="-401169296"/>
      </c:lineChart>
      <c:catAx>
        <c:axId val="-40117092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01169296"/>
        <c:crosses val="autoZero"/>
        <c:auto val="1"/>
        <c:lblAlgn val="ctr"/>
        <c:lblOffset val="100"/>
        <c:noMultiLvlLbl val="0"/>
      </c:catAx>
      <c:valAx>
        <c:axId val="-401169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01170928"/>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[Nakiya_Vishal_ExcelDashboard.xlsx]Product vs TotalPrice!PivotTable3</c:name>
    <c:fmtId val="3"/>
  </c:pivotSource>
  <c:chart>
    <c:title>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15:layout/>
            </c:ext>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'Product vs TotalPrice'!$B$3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'Product vs TotalPrice'!$A$4:$A$11</c:f>
              <c:strCache>
                <c:ptCount val="7"/>
                <c:pt idx="0">
                  <c:v>Chair</c:v>
                </c:pt>
                <c:pt idx="1">
                  <c:v>Desk</c:v>
                </c:pt>
                <c:pt idx="2">
                  <c:v>Laptop</c:v>
                </c:pt>
                <c:pt idx="3">
                  <c:v>Monitor</c:v>
                </c:pt>
                <c:pt idx="4">
                  <c:v>Phone</c:v>
                </c:pt>
                <c:pt idx="5">
                  <c:v>Printer</c:v>
                </c:pt>
                <c:pt idx="6">
                  <c:v>Tablet</c:v>
                </c:pt>
              </c:strCache>
            </c:strRef>
          </c:cat>
          <c:val>
            <c:numRef>
              <c:f>'Product vs TotalPrice'!$B$4:$B$11</c:f>
              <c:numCache>
                <c:formatCode>General</c:formatCode>
                <c:ptCount val="7"/>
                <c:pt idx="0">
                  <c:v>47507.756499999996</c:v>
                </c:pt>
                <c:pt idx="1">
                  <c:v>61269.575999999994</c:v>
                </c:pt>
                <c:pt idx="2">
                  <c:v>55555.426500000001</c:v>
                </c:pt>
                <c:pt idx="3">
                  <c:v>24137.040000000001</c:v>
                </c:pt>
                <c:pt idx="4">
                  <c:v>44999.142999999996</c:v>
                </c:pt>
                <c:pt idx="5">
                  <c:v>21996.18</c:v>
                </c:pt>
                <c:pt idx="6">
                  <c:v>53389.487000000008</c:v>
                </c:pt>
              </c:numCache>
            </c:numRef>
          </c:val>
          <c:extLst xmlns:c16r2="http://schemas.microsoft.com/office/drawing/2015/06/chart">
            <c:ext xmlns:c16="http://schemas.microsoft.com/office/drawing/2014/chart" uri="{C3380CC4-5D6E-409C-BE32-E72D297353CC}">
              <c16:uniqueId val="{00000000-27C3-41DA-8345-4E5BDC04DFA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[Nakiya_Vishal_ExcelDashboard.xlsx]Region Vs Sum of Quantity!PivotTable1</c:name>
    <c:fmtId val="0"/>
  </c:pivotSource>
  <c:chart>
    <c:title>
      <c:layout/>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927559055118111"/>
          <c:y val="0.18198855351414409"/>
          <c:w val="0.57531692913385823"/>
          <c:h val="0.61801946631671045"/>
        </c:manualLayout>
      </c:layout>
      <c:bar3DChart>
        <c:barDir val="bar"/>
        <c:grouping val="clustered"/>
        <c:varyColors val="0"/>
        <c:ser>
          <c:idx val="0"/>
          <c:order val="0"/>
          <c:tx>
            <c:strRef>
              <c:f>'Region Vs Sum of Quantity'!$B$3</c:f>
              <c:strCache>
                <c:ptCount val="1"/>
                <c:pt idx="0">
                  <c:v>Total</c:v>
                </c:pt>
              </c:strCache>
            </c:strRef>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cat>
            <c:strRef>
              <c:f>'Region Vs Sum of Quantity'!$A$4:$A$9</c:f>
              <c:strCache>
                <c:ptCount val="5"/>
                <c:pt idx="0">
                  <c:v>Central</c:v>
                </c:pt>
                <c:pt idx="1">
                  <c:v>East</c:v>
                </c:pt>
                <c:pt idx="2">
                  <c:v>North</c:v>
                </c:pt>
                <c:pt idx="3">
                  <c:v>South</c:v>
                </c:pt>
                <c:pt idx="4">
                  <c:v>West</c:v>
                </c:pt>
              </c:strCache>
            </c:strRef>
          </c:cat>
          <c:val>
            <c:numRef>
              <c:f>'Region Vs Sum of Quantity'!$B$4:$B$9</c:f>
              <c:numCache>
                <c:formatCode>General</c:formatCode>
                <c:ptCount val="5"/>
                <c:pt idx="0">
                  <c:v>287</c:v>
                </c:pt>
                <c:pt idx="1">
                  <c:v>217</c:v>
                </c:pt>
                <c:pt idx="2">
                  <c:v>169</c:v>
                </c:pt>
                <c:pt idx="3">
                  <c:v>180</c:v>
                </c:pt>
                <c:pt idx="4">
                  <c:v>201</c:v>
                </c:pt>
              </c:numCache>
            </c:numRef>
          </c:val>
        </c:ser>
        <c:dLbls>
          <c:showLegendKey val="0"/>
          <c:showVal val="0"/>
          <c:showCatName val="0"/>
          <c:showSerName val="0"/>
          <c:showPercent val="0"/>
          <c:showBubbleSize val="0"/>
        </c:dLbls>
        <c:gapWidth val="150"/>
        <c:shape val="box"/>
        <c:axId val="-401165488"/>
        <c:axId val="-401174192"/>
        <c:axId val="0"/>
      </c:bar3DChart>
      <c:catAx>
        <c:axId val="-401165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01174192"/>
        <c:crosses val="autoZero"/>
        <c:auto val="1"/>
        <c:lblAlgn val="ctr"/>
        <c:lblOffset val="100"/>
        <c:noMultiLvlLbl val="0"/>
      </c:catAx>
      <c:valAx>
        <c:axId val="-401174192"/>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011654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[Nakiya_Vishal_ExcelDashboard.xlsx]PaymentMethod vs TotalPrice!PivotTable2</c:name>
    <c:fmtId val="0"/>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'PaymentMethod vs TotalPrice'!$B$3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Pt>
            <c:idx val="3"/>
            <c:bubble3D val="0"/>
            <c:spPr>
              <a:solidFill>
                <a:schemeClr val="accent4"/>
              </a:solidFill>
              <a:ln>
                <a:noFill/>
              </a:ln>
              <a:effectLst>
                <a:outerShdw blurRad="254000" sx="102000" sy="102000" algn="ctr" rotWithShape="0">
                  <a:prstClr val="black">
                    <a:alpha val="20000"/>
                  </a:prstClr>
                </a:outerShdw>
              </a:effectLst>
              <a:sp3d/>
            </c:spPr>
          </c:dPt>
          <c:dPt>
            <c:idx val="4"/>
            <c:bubble3D val="0"/>
            <c:spPr>
              <a:solidFill>
                <a:schemeClr val="accent5"/>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'PaymentMethod vs TotalPrice'!$A$4:$A$9</c:f>
              <c:strCache>
                <c:ptCount val="5"/>
                <c:pt idx="0">
                  <c:v>Cash</c:v>
                </c:pt>
                <c:pt idx="1">
                  <c:v>Credit Card</c:v>
                </c:pt>
                <c:pt idx="2">
                  <c:v>Debit Card</c:v>
                </c:pt>
                <c:pt idx="3">
                  <c:v>Gift Card</c:v>
                </c:pt>
                <c:pt idx="4">
                  <c:v>Online</c:v>
                </c:pt>
              </c:strCache>
            </c:strRef>
          </c:cat>
          <c:val>
            <c:numRef>
              <c:f>'PaymentMethod vs TotalPrice'!$B$4:$B$9</c:f>
              <c:numCache>
                <c:formatCode>General</c:formatCode>
                <c:ptCount val="5"/>
                <c:pt idx="0">
                  <c:v>36578.335999999996</c:v>
                </c:pt>
                <c:pt idx="1">
                  <c:v>63489.49</c:v>
                </c:pt>
                <c:pt idx="2">
                  <c:v>27929.255999999994</c:v>
                </c:pt>
                <c:pt idx="3">
                  <c:v>78911.626499999998</c:v>
                </c:pt>
                <c:pt idx="4">
                  <c:v>101945.90050000002</c:v>
                </c:pt>
              </c:numCache>
            </c:numRef>
          </c:val>
        </c:ser>
        <c:dLbls>
          <c:dLblPos val="ctr"/>
          <c:showLegendKey val="0"/>
          <c:showVal val="0"/>
          <c:showCatName val="0"/>
          <c:showSerName val="0"/>
          <c:showPercent val="1"/>
          <c:showBubbleSize val="0"/>
          <c:showLeaderLines val="1"/>
        </c:dLbls>
      </c:pie3D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10.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600075</xdr:colOff>
      <xdr:row>2</xdr:row>
      <xdr:rowOff>171449</xdr:rowOff>
    </xdr:from>
    <xdr:to>
      <xdr:col>8</xdr:col>
      <xdr:colOff>552450</xdr:colOff>
      <xdr:row>13</xdr:row>
      <xdr:rowOff>28574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571500</xdr:colOff>
      <xdr:row>2</xdr:row>
      <xdr:rowOff>171450</xdr:rowOff>
    </xdr:from>
    <xdr:to>
      <xdr:col>15</xdr:col>
      <xdr:colOff>438150</xdr:colOff>
      <xdr:row>13</xdr:row>
      <xdr:rowOff>28575</xdr:rowOff>
    </xdr:to>
    <xdr:graphicFrame macro="">
      <xdr:nvGraphicFramePr>
        <xdr:cNvPr id="3" name="Chart 2">
          <a:extLst>
            <a:ext uri="{FF2B5EF4-FFF2-40B4-BE49-F238E27FC236}">
              <a16:creationId xmlns:a16="http://schemas.microsoft.com/office/drawing/2014/main" xmlns="" id="{F7B04DB9-CF65-21E7-E1AD-C92D488D4B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590550</xdr:colOff>
      <xdr:row>13</xdr:row>
      <xdr:rowOff>9526</xdr:rowOff>
    </xdr:from>
    <xdr:to>
      <xdr:col>6</xdr:col>
      <xdr:colOff>323851</xdr:colOff>
      <xdr:row>24</xdr:row>
      <xdr:rowOff>123826</xdr:rowOff>
    </xdr:to>
    <xdr:graphicFrame macro="">
      <xdr:nvGraphicFramePr>
        <xdr:cNvPr id="4" name="Chart 3">
          <a:extLst>
            <a:ext uri="{FF2B5EF4-FFF2-40B4-BE49-F238E27FC236}">
              <a16:creationId xmlns:a16="http://schemas.microsoft.com/office/drawing/2014/main" xmlns="" id="{808A7C06-DA78-04A9-42E5-DB25EC2075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342900</xdr:colOff>
      <xdr:row>13</xdr:row>
      <xdr:rowOff>28574</xdr:rowOff>
    </xdr:from>
    <xdr:to>
      <xdr:col>10</xdr:col>
      <xdr:colOff>523875</xdr:colOff>
      <xdr:row>24</xdr:row>
      <xdr:rowOff>114299</xdr:rowOff>
    </xdr:to>
    <xdr:graphicFrame macro="">
      <xdr:nvGraphicFramePr>
        <xdr:cNvPr id="5" name="Chart 4">
          <a:extLst>
            <a:ext uri="{FF2B5EF4-FFF2-40B4-BE49-F238E27FC236}">
              <a16:creationId xmlns:a16="http://schemas.microsoft.com/office/drawing/2014/main" xmlns="" id="{C5AA7180-A5D0-7E2A-BD7E-0BA53065B2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542925</xdr:colOff>
      <xdr:row>13</xdr:row>
      <xdr:rowOff>38100</xdr:rowOff>
    </xdr:from>
    <xdr:to>
      <xdr:col>15</xdr:col>
      <xdr:colOff>438150</xdr:colOff>
      <xdr:row>24</xdr:row>
      <xdr:rowOff>104775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2</xdr:row>
      <xdr:rowOff>161925</xdr:rowOff>
    </xdr:from>
    <xdr:to>
      <xdr:col>2</xdr:col>
      <xdr:colOff>0</xdr:colOff>
      <xdr:row>9</xdr:row>
      <xdr:rowOff>171451</xdr:rowOff>
    </xdr:to>
    <mc:AlternateContent xmlns:mc="http://schemas.openxmlformats.org/markup-compatibility/2006">
      <mc:Choice xmlns:a14="http://schemas.microsoft.com/office/drawing/2010/main" Requires="a14">
        <xdr:graphicFrame macro="">
          <xdr:nvGraphicFramePr>
            <xdr:cNvPr id="7"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542925"/>
              <a:ext cx="1219200" cy="13430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10</xdr:row>
      <xdr:rowOff>19051</xdr:rowOff>
    </xdr:from>
    <xdr:to>
      <xdr:col>1</xdr:col>
      <xdr:colOff>571500</xdr:colOff>
      <xdr:row>24</xdr:row>
      <xdr:rowOff>114301</xdr:rowOff>
    </xdr:to>
    <mc:AlternateContent xmlns:mc="http://schemas.openxmlformats.org/markup-compatibility/2006">
      <mc:Choice xmlns:a14="http://schemas.microsoft.com/office/drawing/2010/main" Requires="a14">
        <xdr:graphicFrame macro="">
          <xdr:nvGraphicFramePr>
            <xdr:cNvPr id="10" name="Months (Date) 1"/>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dr:sp macro="" textlink="">
          <xdr:nvSpPr>
            <xdr:cNvPr id="0" name=""/>
            <xdr:cNvSpPr>
              <a:spLocks noTextEdit="1"/>
            </xdr:cNvSpPr>
          </xdr:nvSpPr>
          <xdr:spPr>
            <a:xfrm>
              <a:off x="1" y="1924051"/>
              <a:ext cx="1181099" cy="2762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9</xdr:row>
      <xdr:rowOff>171450</xdr:rowOff>
    </xdr:from>
    <xdr:to>
      <xdr:col>8</xdr:col>
      <xdr:colOff>15240</xdr:colOff>
      <xdr:row>24</xdr:row>
      <xdr:rowOff>45720</xdr:rowOff>
    </xdr:to>
    <xdr:graphicFrame macro="">
      <xdr:nvGraphicFramePr>
        <xdr:cNvPr id="3" name="Chart 2">
          <a:extLst>
            <a:ext uri="{FF2B5EF4-FFF2-40B4-BE49-F238E27FC236}">
              <a16:creationId xmlns:a16="http://schemas.microsoft.com/office/drawing/2014/main" xmlns="" id="{808A7C06-DA78-04A9-42E5-DB25EC2075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38100</xdr:colOff>
      <xdr:row>1</xdr:row>
      <xdr:rowOff>180975</xdr:rowOff>
    </xdr:from>
    <xdr:to>
      <xdr:col>5</xdr:col>
      <xdr:colOff>190500</xdr:colOff>
      <xdr:row>9</xdr:row>
      <xdr:rowOff>1</xdr:rowOff>
    </xdr:to>
    <mc:AlternateContent xmlns:mc="http://schemas.openxmlformats.org/markup-compatibility/2006">
      <mc:Choice xmlns:a14="http://schemas.microsoft.com/office/drawing/2010/main" Requires="a14">
        <xdr:graphicFrame macro="">
          <xdr:nvGraphicFramePr>
            <xdr:cNvPr id="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505075" y="371475"/>
              <a:ext cx="1371600" cy="13430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16</xdr:row>
      <xdr:rowOff>167640</xdr:rowOff>
    </xdr:from>
    <xdr:to>
      <xdr:col>6</xdr:col>
      <xdr:colOff>586740</xdr:colOff>
      <xdr:row>29</xdr:row>
      <xdr:rowOff>0</xdr:rowOff>
    </xdr:to>
    <xdr:graphicFrame macro="">
      <xdr:nvGraphicFramePr>
        <xdr:cNvPr id="2" name="Chart 1">
          <a:extLst>
            <a:ext uri="{FF2B5EF4-FFF2-40B4-BE49-F238E27FC236}">
              <a16:creationId xmlns:a16="http://schemas.microsoft.com/office/drawing/2014/main" xmlns="" id="{F7B04DB9-CF65-21E7-E1AD-C92D488D4B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2</xdr:row>
      <xdr:rowOff>9525</xdr:rowOff>
    </xdr:from>
    <xdr:to>
      <xdr:col>6</xdr:col>
      <xdr:colOff>85725</xdr:colOff>
      <xdr:row>15</xdr:row>
      <xdr:rowOff>171450</xdr:rowOff>
    </xdr:to>
    <mc:AlternateContent xmlns:mc="http://schemas.openxmlformats.org/markup-compatibility/2006">
      <mc:Choice xmlns:a14="http://schemas.microsoft.com/office/drawing/2010/main" Requires="a14">
        <xdr:graphicFrame macro="">
          <xdr:nvGraphicFramePr>
            <xdr:cNvPr id="3" name="Months (Date)"/>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3409950" y="390525"/>
              <a:ext cx="1304925" cy="2638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12</xdr:row>
      <xdr:rowOff>171450</xdr:rowOff>
    </xdr:from>
    <xdr:to>
      <xdr:col>4</xdr:col>
      <xdr:colOff>746760</xdr:colOff>
      <xdr:row>25</xdr:row>
      <xdr:rowOff>167640</xdr:rowOff>
    </xdr:to>
    <xdr:graphicFrame macro="">
      <xdr:nvGraphicFramePr>
        <xdr:cNvPr id="2" name="Chart 1">
          <a:extLst>
            <a:ext uri="{FF2B5EF4-FFF2-40B4-BE49-F238E27FC236}">
              <a16:creationId xmlns:a16="http://schemas.microsoft.com/office/drawing/2014/main" xmlns="" id="{C5AA7180-A5D0-7E2A-BD7E-0BA53065B2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733425</xdr:colOff>
      <xdr:row>9</xdr:row>
      <xdr:rowOff>147638</xdr:rowOff>
    </xdr:from>
    <xdr:to>
      <xdr:col>7</xdr:col>
      <xdr:colOff>9525</xdr:colOff>
      <xdr:row>22</xdr:row>
      <xdr:rowOff>47626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19051</xdr:colOff>
      <xdr:row>10</xdr:row>
      <xdr:rowOff>14287</xdr:rowOff>
    </xdr:from>
    <xdr:to>
      <xdr:col>6</xdr:col>
      <xdr:colOff>600075</xdr:colOff>
      <xdr:row>21</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76200</xdr:colOff>
      <xdr:row>1</xdr:row>
      <xdr:rowOff>180976</xdr:rowOff>
    </xdr:from>
    <xdr:to>
      <xdr:col>4</xdr:col>
      <xdr:colOff>581025</xdr:colOff>
      <xdr:row>9</xdr:row>
      <xdr:rowOff>9525</xdr:rowOff>
    </xdr:to>
    <mc:AlternateContent xmlns:mc="http://schemas.openxmlformats.org/markup-compatibility/2006">
      <mc:Choice xmlns:a14="http://schemas.microsoft.com/office/drawing/2010/main" Requires="a14">
        <xdr:graphicFrame macro="">
          <xdr:nvGraphicFramePr>
            <xdr:cNvPr id="3" name="PaymentMethod"/>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3019425" y="371476"/>
              <a:ext cx="1114425" cy="1352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Nakiya Vishal" refreshedDate="46128.712801388887" createdVersion="8" refreshedVersion="8" minRefreshableVersion="3" recordCount="99">
  <cacheSource type="worksheet">
    <worksheetSource name="Table1"/>
  </cacheSource>
  <cacheFields count="21">
    <cacheField name="Date" numFmtId="164">
      <sharedItems containsSemiMixedTypes="0" containsNonDate="0" containsDate="1" containsString="0" minDate="2023-01-05T00:00:00" maxDate="2025-06-21T00:00:00" count="9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sharedItems>
      <fieldGroup par="20"/>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ount="20">
        <n v="14"/>
        <n v="1"/>
        <n v="18"/>
        <n v="2"/>
        <n v="7"/>
        <n v="3"/>
        <n v="5"/>
        <n v="15"/>
        <n v="19"/>
        <n v="17"/>
        <n v="11"/>
        <n v="20"/>
        <n v="10"/>
        <n v="12"/>
        <n v="13"/>
        <n v="4"/>
        <n v="6"/>
        <n v="9"/>
        <n v="16"/>
        <n v="8"/>
      </sharedItems>
    </cacheField>
    <cacheField name="UnitPrice" numFmtId="0">
      <sharedItems containsSemiMixedTypes="0" containsString="0" containsNumber="1" minValue="15.85" maxValue="582.52"/>
    </cacheField>
    <cacheField name="StoreLocation" numFmtId="0">
      <sharedItems count="4">
        <s v="Store B"/>
        <s v="Store A"/>
        <s v="Store C"/>
        <s v="Store D"/>
      </sharedItems>
    </cacheField>
    <cacheField name="CustomerType" numFmtId="0">
      <sharedItems/>
    </cacheField>
    <cacheField name="Discount" numFmtId="0">
      <sharedItems containsSemiMixedTypes="0" containsString="0" containsNumber="1" minValue="0" maxValue="0.15"/>
    </cacheField>
    <cacheField name="Salesperson" numFmtId="0">
      <sharedItems/>
    </cacheField>
    <cacheField name="TotalPrice" numFmtId="0">
      <sharedItems containsSemiMixedTypes="0" containsString="0" containsNumber="1" minValue="101.73" maxValue="9870.1200000000008" count="99">
        <n v="2290.4"/>
        <n v="544.01"/>
        <n v="4361.8680000000004"/>
        <n v="5887.7460000000001"/>
        <n v="4279.68"/>
        <n v="654.65299999999991"/>
        <n v="110.25"/>
        <n v="842.06100000000004"/>
        <n v="1231.3140000000001"/>
        <n v="1454.76"/>
        <n v="6671.9474999999993"/>
        <n v="3545.6849999999999"/>
        <n v="114.5035"/>
        <n v="134.15549999999999"/>
        <n v="2808.8249999999998"/>
        <n v="2631.8040000000001"/>
        <n v="4486.09"/>
        <n v="5989.3130000000001"/>
        <n v="8823.6799999999985"/>
        <n v="431.62"/>
        <n v="3190.5"/>
        <n v="4160.107"/>
        <n v="5536.3"/>
        <n v="4821.7440000000006"/>
        <n v="1440.05"/>
        <n v="7309.77"/>
        <n v="101.73"/>
        <n v="1117.96"/>
        <n v="151.76750000000001"/>
        <n v="424.863"/>
        <n v="3675.48"/>
        <n v="2586.8815"/>
        <n v="389.88"/>
        <n v="8100.33"/>
        <n v="1903.048"/>
        <n v="1149.96"/>
        <n v="2934.4454999999998"/>
        <n v="1791.0094999999999"/>
        <n v="5394.4380000000001"/>
        <n v="855.57599999999991"/>
        <n v="2116.44"/>
        <n v="1238.23"/>
        <n v="434.04"/>
        <n v="1561.654"/>
        <n v="790.51400000000001"/>
        <n v="4841.28"/>
        <n v="309.76549999999997"/>
        <n v="3961.136"/>
        <n v="743.17500000000007"/>
        <n v="2889.558"/>
        <n v="772.08299999999997"/>
        <n v="503.38"/>
        <n v="242.46899999999999"/>
        <n v="705.47"/>
        <n v="2695.0439999999999"/>
        <n v="2432.2375000000002"/>
        <n v="2113.7460000000001"/>
        <n v="451.71"/>
        <n v="3923.766000000001"/>
        <n v="5418.8190000000004"/>
        <n v="5016.0200000000004"/>
        <n v="2413.44"/>
        <n v="1283.5530000000001"/>
        <n v="642.6"/>
        <n v="7667.55"/>
        <n v="179.76599999999999"/>
        <n v="2329.9699999999998"/>
        <n v="3085.2959999999998"/>
        <n v="143.46899999999999"/>
        <n v="523.46400000000006"/>
        <n v="4186.59"/>
        <n v="9864.18"/>
        <n v="5982.9575000000004"/>
        <n v="2418.6239999999998"/>
        <n v="483.53100000000001"/>
        <n v="4985.1899999999996"/>
        <n v="5613.5519999999997"/>
        <n v="2344.2150000000001"/>
        <n v="3138.2"/>
        <n v="6686.67"/>
        <n v="318.25"/>
        <n v="1772.0374999999999"/>
        <n v="2435.5529999999999"/>
        <n v="6990.24"/>
        <n v="2202.52"/>
        <n v="7340.94"/>
        <n v="237.75"/>
        <n v="9870.1200000000008"/>
        <n v="7992.616"/>
        <n v="5862.165"/>
        <n v="9575.1450000000004"/>
        <n v="1367.24"/>
        <n v="5040.329999999999"/>
        <n v="4629.8999999999996"/>
        <n v="3060.596"/>
        <n v="4998.7479999999996"/>
        <n v="307.63850000000002"/>
        <n v="5030.7"/>
        <n v="8358.56"/>
      </sharedItems>
    </cacheField>
    <cacheField name="PaymentMethod" numFmtId="0">
      <sharedItems count="5">
        <s v="Online"/>
        <s v="Gift Card"/>
        <s v="Credit Card"/>
        <s v="Debit Card"/>
        <s v="Cash"/>
      </sharedItems>
    </cacheField>
    <cacheField name="Returned" numFmtId="0">
      <sharedItems containsSemiMixedTypes="0" containsString="0" containsNumber="1" containsInteger="1" minValue="0" maxValue="1"/>
    </cacheField>
    <cacheField name="OrderID" numFmtId="0">
      <sharedItems/>
    </cacheField>
    <cacheField name="CustomerName" numFmtId="0">
      <sharedItems/>
    </cacheField>
    <cacheField name="ShippingCost" numFmtId="0">
      <sharedItems containsSemiMixedTypes="0" containsString="0" containsNumber="1" minValue="5.01" maxValue="49.05"/>
    </cacheField>
    <cacheField name="OrderDate" numFmtId="164">
      <sharedItems containsSemiMixedTypes="0" containsNonDate="0" containsDate="1" containsString="0" minDate="2023-01-05T00:00:00" maxDate="2025-06-21T00:00:00"/>
    </cacheField>
    <cacheField name="DeliveryDate" numFmtId="164">
      <sharedItems containsSemiMixedTypes="0" containsNonDate="0" containsDate="1" containsString="0" minDate="2023-01-11T00:00:00" maxDate="2025-07-01T00:00:00"/>
    </cacheField>
    <cacheField name="RegionManager" numFmtId="0">
      <sharedItems/>
    </cacheField>
    <cacheField name="Months (Date)" numFmtId="0" databaseField="0">
      <fieldGroup base="0">
        <rangePr groupBy="months" startDate="2023-01-05T00:00:00" endDate="2025-06-21T00:00:00"/>
        <groupItems count="14">
          <s v="&lt;05-01-2023"/>
          <s v="Jan"/>
          <s v="Feb"/>
          <s v="Mar"/>
          <s v="Apr"/>
          <s v="May"/>
          <s v="Jun"/>
          <s v="Jul"/>
          <s v="Aug"/>
          <s v="Sep"/>
          <s v="Oct"/>
          <s v="Nov"/>
          <s v="Dec"/>
          <s v="&gt;21-06-2025"/>
        </groupItems>
      </fieldGroup>
    </cacheField>
    <cacheField name="Quarters (Date)" numFmtId="0" databaseField="0">
      <fieldGroup base="0">
        <rangePr groupBy="quarters" startDate="2023-01-05T00:00:00" endDate="2025-06-21T00:00:00"/>
        <groupItems count="6">
          <s v="&lt;05-01-2023"/>
          <s v="Qtr1"/>
          <s v="Qtr2"/>
          <s v="Qtr3"/>
          <s v="Qtr4"/>
          <s v="&gt;21-06-2025"/>
        </groupItems>
      </fieldGroup>
    </cacheField>
    <cacheField name="Years (Date)" numFmtId="0" databaseField="0">
      <fieldGroup base="0">
        <rangePr groupBy="years" startDate="2023-01-05T00:00:00" endDate="2025-06-21T00:00:00"/>
        <groupItems count="5">
          <s v="&lt;05-01-2023"/>
          <s v="2023"/>
          <s v="2024"/>
          <s v="2025"/>
          <s v="&gt;21-06-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
  <r>
    <x v="0"/>
    <x v="0"/>
    <x v="0"/>
    <x v="0"/>
    <n v="163.6"/>
    <x v="0"/>
    <s v="Wholesale"/>
    <n v="0"/>
    <s v="Eva"/>
    <x v="0"/>
    <x v="0"/>
    <n v="0"/>
    <s v="REG100000"/>
    <s v="Cust 6583"/>
    <n v="43.34"/>
    <d v="2023-02-23T00:00:00"/>
    <d v="2023-02-27T00:00:00"/>
    <s v="Eric"/>
  </r>
  <r>
    <x v="1"/>
    <x v="1"/>
    <x v="1"/>
    <x v="1"/>
    <n v="544.01"/>
    <x v="1"/>
    <s v="Retail"/>
    <n v="0"/>
    <s v="Alice"/>
    <x v="1"/>
    <x v="1"/>
    <n v="0"/>
    <s v="REG100001"/>
    <s v="Cust 2144"/>
    <n v="5.3"/>
    <d v="2024-12-19T00:00:00"/>
    <d v="2024-12-28T00:00:00"/>
    <s v="Sophie"/>
  </r>
  <r>
    <x v="2"/>
    <x v="2"/>
    <x v="2"/>
    <x v="0"/>
    <n v="346.18"/>
    <x v="0"/>
    <s v="Wholesale"/>
    <n v="0.1"/>
    <s v="Alice"/>
    <x v="2"/>
    <x v="0"/>
    <n v="0"/>
    <s v="REG100002"/>
    <s v="Cust 5998"/>
    <n v="20.46"/>
    <d v="2023-05-10T00:00:00"/>
    <d v="2023-05-19T00:00:00"/>
    <s v="Ryan"/>
  </r>
  <r>
    <x v="3"/>
    <x v="3"/>
    <x v="3"/>
    <x v="2"/>
    <n v="384.82"/>
    <x v="1"/>
    <s v="Wholesale"/>
    <n v="0.15"/>
    <s v="Frank"/>
    <x v="3"/>
    <x v="1"/>
    <n v="0"/>
    <s v="REG100003"/>
    <s v="Cust 7136"/>
    <n v="27.95"/>
    <d v="2025-02-26T00:00:00"/>
    <d v="2025-03-02T00:00:00"/>
    <s v="Cameron"/>
  </r>
  <r>
    <x v="4"/>
    <x v="0"/>
    <x v="2"/>
    <x v="2"/>
    <n v="237.76"/>
    <x v="2"/>
    <s v="Retail"/>
    <n v="0"/>
    <s v="Carlos"/>
    <x v="4"/>
    <x v="0"/>
    <n v="0"/>
    <s v="REG100004"/>
    <s v="Cust 6506"/>
    <n v="5.73"/>
    <d v="2023-06-24T00:00:00"/>
    <d v="2023-06-27T00:00:00"/>
    <s v="Eric"/>
  </r>
  <r>
    <x v="5"/>
    <x v="3"/>
    <x v="4"/>
    <x v="3"/>
    <n v="385.09"/>
    <x v="3"/>
    <s v="Wholesale"/>
    <n v="0.15"/>
    <s v="Diana"/>
    <x v="5"/>
    <x v="2"/>
    <n v="0"/>
    <s v="REG100005"/>
    <s v="Cust 3909"/>
    <n v="11.92"/>
    <d v="2024-02-20T00:00:00"/>
    <d v="2024-03-01T00:00:00"/>
    <s v="Cameron"/>
  </r>
  <r>
    <x v="6"/>
    <x v="1"/>
    <x v="3"/>
    <x v="4"/>
    <n v="17.5"/>
    <x v="2"/>
    <s v="Retail"/>
    <n v="0.1"/>
    <s v="Alice"/>
    <x v="6"/>
    <x v="3"/>
    <n v="0"/>
    <s v="REG100006"/>
    <s v="Cust 7887"/>
    <n v="5.0199999999999996"/>
    <d v="2023-01-11T00:00:00"/>
    <d v="2023-01-14T00:00:00"/>
    <s v="Sophie"/>
  </r>
  <r>
    <x v="7"/>
    <x v="3"/>
    <x v="3"/>
    <x v="5"/>
    <n v="330.22"/>
    <x v="2"/>
    <s v="Wholesale"/>
    <n v="0.15"/>
    <s v="Carlos"/>
    <x v="7"/>
    <x v="4"/>
    <n v="0"/>
    <s v="REG100007"/>
    <s v="Cust 5301"/>
    <n v="48.01"/>
    <d v="2023-01-09T00:00:00"/>
    <d v="2023-01-11T00:00:00"/>
    <s v="Cameron"/>
  </r>
  <r>
    <x v="8"/>
    <x v="1"/>
    <x v="3"/>
    <x v="5"/>
    <n v="432.04"/>
    <x v="3"/>
    <s v="Wholesale"/>
    <n v="0.05"/>
    <s v="Bob"/>
    <x v="8"/>
    <x v="3"/>
    <n v="1"/>
    <s v="REG100008"/>
    <s v="Cust 2284"/>
    <n v="42.11"/>
    <d v="2024-10-16T00:00:00"/>
    <d v="2024-10-18T00:00:00"/>
    <s v="Sophie"/>
  </r>
  <r>
    <x v="9"/>
    <x v="4"/>
    <x v="2"/>
    <x v="6"/>
    <n v="323.27999999999997"/>
    <x v="3"/>
    <s v="Retail"/>
    <n v="0.1"/>
    <s v="Frank"/>
    <x v="9"/>
    <x v="1"/>
    <n v="0"/>
    <s v="REG100009"/>
    <s v="Cust 3732"/>
    <n v="41.1"/>
    <d v="2025-03-05T00:00:00"/>
    <d v="2025-03-13T00:00:00"/>
    <s v="Wendy"/>
  </r>
  <r>
    <x v="10"/>
    <x v="2"/>
    <x v="2"/>
    <x v="7"/>
    <n v="523.29"/>
    <x v="0"/>
    <s v="Wholesale"/>
    <n v="0.15"/>
    <s v="Eva"/>
    <x v="10"/>
    <x v="3"/>
    <n v="0"/>
    <s v="REG100010"/>
    <s v="Cust 1462"/>
    <n v="12.14"/>
    <d v="2024-04-10T00:00:00"/>
    <d v="2024-04-17T00:00:00"/>
    <s v="Ryan"/>
  </r>
  <r>
    <x v="11"/>
    <x v="0"/>
    <x v="1"/>
    <x v="8"/>
    <n v="207.35"/>
    <x v="3"/>
    <s v="Retail"/>
    <n v="0.1"/>
    <s v="Eva"/>
    <x v="11"/>
    <x v="1"/>
    <n v="1"/>
    <s v="REG100011"/>
    <s v="Cust 4330"/>
    <n v="44.89"/>
    <d v="2024-07-12T00:00:00"/>
    <d v="2024-07-18T00:00:00"/>
    <s v="Eric"/>
  </r>
  <r>
    <x v="12"/>
    <x v="3"/>
    <x v="1"/>
    <x v="1"/>
    <n v="120.53"/>
    <x v="0"/>
    <s v="Retail"/>
    <n v="0.05"/>
    <s v="Diana"/>
    <x v="12"/>
    <x v="4"/>
    <n v="0"/>
    <s v="REG100012"/>
    <s v="Cust 2372"/>
    <n v="20.350000000000001"/>
    <d v="2023-07-21T00:00:00"/>
    <d v="2023-07-31T00:00:00"/>
    <s v="Cameron"/>
  </r>
  <r>
    <x v="13"/>
    <x v="4"/>
    <x v="5"/>
    <x v="1"/>
    <n v="157.83000000000001"/>
    <x v="1"/>
    <s v="Wholesale"/>
    <n v="0.15"/>
    <s v="Carlos"/>
    <x v="13"/>
    <x v="3"/>
    <n v="0"/>
    <s v="REG100013"/>
    <s v="Cust 4672"/>
    <n v="42.82"/>
    <d v="2025-01-18T00:00:00"/>
    <d v="2025-01-22T00:00:00"/>
    <s v="Wendy"/>
  </r>
  <r>
    <x v="14"/>
    <x v="2"/>
    <x v="2"/>
    <x v="7"/>
    <n v="220.3"/>
    <x v="0"/>
    <s v="Retail"/>
    <n v="0.15"/>
    <s v="Diana"/>
    <x v="14"/>
    <x v="3"/>
    <n v="0"/>
    <s v="REG100014"/>
    <s v="Cust 4548"/>
    <n v="39.659999999999997"/>
    <d v="2024-12-08T00:00:00"/>
    <d v="2024-12-15T00:00:00"/>
    <s v="Ryan"/>
  </r>
  <r>
    <x v="15"/>
    <x v="4"/>
    <x v="3"/>
    <x v="9"/>
    <n v="162.96"/>
    <x v="1"/>
    <s v="Wholesale"/>
    <n v="0.05"/>
    <s v="Eva"/>
    <x v="15"/>
    <x v="1"/>
    <n v="0"/>
    <s v="REG100015"/>
    <s v="Cust 7037"/>
    <n v="8.11"/>
    <d v="2025-05-11T00:00:00"/>
    <d v="2025-05-17T00:00:00"/>
    <s v="Wendy"/>
  </r>
  <r>
    <x v="16"/>
    <x v="4"/>
    <x v="0"/>
    <x v="8"/>
    <n v="236.11"/>
    <x v="3"/>
    <s v="Wholesale"/>
    <n v="0"/>
    <s v="Bob"/>
    <x v="16"/>
    <x v="0"/>
    <n v="0"/>
    <s v="REG100016"/>
    <s v="Cust 4975"/>
    <n v="34.11"/>
    <d v="2023-02-26T00:00:00"/>
    <d v="2023-03-04T00:00:00"/>
    <s v="Wendy"/>
  </r>
  <r>
    <x v="17"/>
    <x v="3"/>
    <x v="2"/>
    <x v="10"/>
    <n v="573.14"/>
    <x v="3"/>
    <s v="Retail"/>
    <n v="0.05"/>
    <s v="Diana"/>
    <x v="17"/>
    <x v="4"/>
    <n v="0"/>
    <s v="REG100017"/>
    <s v="Cust 8014"/>
    <n v="34.71"/>
    <d v="2024-05-28T00:00:00"/>
    <d v="2024-06-01T00:00:00"/>
    <s v="Cameron"/>
  </r>
  <r>
    <x v="18"/>
    <x v="0"/>
    <x v="1"/>
    <x v="11"/>
    <n v="519.04"/>
    <x v="0"/>
    <s v="Retail"/>
    <n v="0.15"/>
    <s v="Carlos"/>
    <x v="18"/>
    <x v="1"/>
    <n v="0"/>
    <s v="REG100018"/>
    <s v="Cust 1228"/>
    <n v="19.43"/>
    <d v="2023-11-30T00:00:00"/>
    <d v="2023-12-08T00:00:00"/>
    <s v="Eric"/>
  </r>
  <r>
    <x v="19"/>
    <x v="4"/>
    <x v="2"/>
    <x v="0"/>
    <n v="30.83"/>
    <x v="0"/>
    <s v="Retail"/>
    <n v="0"/>
    <s v="Carlos"/>
    <x v="19"/>
    <x v="0"/>
    <n v="1"/>
    <s v="REG100019"/>
    <s v="Cust 4247"/>
    <n v="7.1"/>
    <d v="2023-06-22T00:00:00"/>
    <d v="2023-07-02T00:00:00"/>
    <s v="Wendy"/>
  </r>
  <r>
    <x v="20"/>
    <x v="4"/>
    <x v="1"/>
    <x v="12"/>
    <n v="319.05"/>
    <x v="3"/>
    <s v="Wholesale"/>
    <n v="0"/>
    <s v="Diana"/>
    <x v="20"/>
    <x v="0"/>
    <n v="0"/>
    <s v="REG100020"/>
    <s v="Cust 4199"/>
    <n v="28.43"/>
    <d v="2025-06-05T00:00:00"/>
    <d v="2025-06-08T00:00:00"/>
    <s v="Wendy"/>
  </r>
  <r>
    <x v="21"/>
    <x v="3"/>
    <x v="3"/>
    <x v="0"/>
    <n v="312.79000000000002"/>
    <x v="1"/>
    <s v="Retail"/>
    <n v="0.05"/>
    <s v="Bob"/>
    <x v="21"/>
    <x v="0"/>
    <n v="1"/>
    <s v="REG100021"/>
    <s v="Cust 4186"/>
    <n v="46.83"/>
    <d v="2023-03-03T00:00:00"/>
    <d v="2023-03-08T00:00:00"/>
    <s v="Cameron"/>
  </r>
  <r>
    <x v="22"/>
    <x v="2"/>
    <x v="0"/>
    <x v="0"/>
    <n v="395.45"/>
    <x v="2"/>
    <s v="Retail"/>
    <n v="0"/>
    <s v="Carlos"/>
    <x v="22"/>
    <x v="4"/>
    <n v="1"/>
    <s v="REG100022"/>
    <s v="Cust 8137"/>
    <n v="36.450000000000003"/>
    <d v="2024-02-18T00:00:00"/>
    <d v="2024-02-22T00:00:00"/>
    <s v="Ryan"/>
  </r>
  <r>
    <x v="23"/>
    <x v="3"/>
    <x v="0"/>
    <x v="13"/>
    <n v="472.72"/>
    <x v="3"/>
    <s v="Retail"/>
    <n v="0.15"/>
    <s v="Diana"/>
    <x v="23"/>
    <x v="2"/>
    <n v="0"/>
    <s v="REG100023"/>
    <s v="Cust 4638"/>
    <n v="27.97"/>
    <d v="2023-08-06T00:00:00"/>
    <d v="2023-08-14T00:00:00"/>
    <s v="Cameron"/>
  </r>
  <r>
    <x v="24"/>
    <x v="2"/>
    <x v="2"/>
    <x v="6"/>
    <n v="288.01"/>
    <x v="1"/>
    <s v="Wholesale"/>
    <n v="0"/>
    <s v="Eva"/>
    <x v="24"/>
    <x v="2"/>
    <n v="0"/>
    <s v="REG100024"/>
    <s v="Cust 8538"/>
    <n v="46.69"/>
    <d v="2024-05-23T00:00:00"/>
    <d v="2024-05-30T00:00:00"/>
    <s v="Ryan"/>
  </r>
  <r>
    <x v="25"/>
    <x v="0"/>
    <x v="1"/>
    <x v="14"/>
    <n v="562.29"/>
    <x v="3"/>
    <s v="Retail"/>
    <n v="0"/>
    <s v="Diana"/>
    <x v="25"/>
    <x v="1"/>
    <n v="0"/>
    <s v="REG100025"/>
    <s v="Cust 6322"/>
    <n v="38.130000000000003"/>
    <d v="2023-10-23T00:00:00"/>
    <d v="2023-10-28T00:00:00"/>
    <s v="Eric"/>
  </r>
  <r>
    <x v="26"/>
    <x v="4"/>
    <x v="1"/>
    <x v="1"/>
    <n v="101.73"/>
    <x v="3"/>
    <s v="Retail"/>
    <n v="0"/>
    <s v="Frank"/>
    <x v="26"/>
    <x v="3"/>
    <n v="0"/>
    <s v="REG100026"/>
    <s v="Cust 2609"/>
    <n v="11.59"/>
    <d v="2025-06-16T00:00:00"/>
    <d v="2025-06-25T00:00:00"/>
    <s v="Wendy"/>
  </r>
  <r>
    <x v="21"/>
    <x v="2"/>
    <x v="1"/>
    <x v="15"/>
    <n v="279.49"/>
    <x v="0"/>
    <s v="Retail"/>
    <n v="0"/>
    <s v="Diana"/>
    <x v="27"/>
    <x v="2"/>
    <n v="0"/>
    <s v="REG100027"/>
    <s v="Cust 6880"/>
    <n v="24.78"/>
    <d v="2023-03-03T00:00:00"/>
    <d v="2023-03-08T00:00:00"/>
    <s v="Ryan"/>
  </r>
  <r>
    <x v="27"/>
    <x v="1"/>
    <x v="0"/>
    <x v="1"/>
    <n v="178.55"/>
    <x v="1"/>
    <s v="Retail"/>
    <n v="0.15"/>
    <s v="Carlos"/>
    <x v="28"/>
    <x v="3"/>
    <n v="1"/>
    <s v="REG100028"/>
    <s v="Cust 1997"/>
    <n v="7.61"/>
    <d v="2024-11-18T00:00:00"/>
    <d v="2024-11-21T00:00:00"/>
    <s v="Sophie"/>
  </r>
  <r>
    <x v="28"/>
    <x v="3"/>
    <x v="5"/>
    <x v="1"/>
    <n v="472.07"/>
    <x v="1"/>
    <s v="Wholesale"/>
    <n v="0.1"/>
    <s v="Carlos"/>
    <x v="29"/>
    <x v="0"/>
    <n v="0"/>
    <s v="REG100029"/>
    <s v="Cust 7072"/>
    <n v="33.17"/>
    <d v="2023-05-09T00:00:00"/>
    <d v="2023-05-17T00:00:00"/>
    <s v="Cameron"/>
  </r>
  <r>
    <x v="29"/>
    <x v="2"/>
    <x v="5"/>
    <x v="13"/>
    <n v="306.29000000000002"/>
    <x v="3"/>
    <s v="Retail"/>
    <n v="0"/>
    <s v="Frank"/>
    <x v="30"/>
    <x v="3"/>
    <n v="0"/>
    <s v="REG100030"/>
    <s v="Cust 7201"/>
    <n v="37.380000000000003"/>
    <d v="2024-12-07T00:00:00"/>
    <d v="2024-12-14T00:00:00"/>
    <s v="Ryan"/>
  </r>
  <r>
    <x v="30"/>
    <x v="2"/>
    <x v="1"/>
    <x v="4"/>
    <n v="434.77"/>
    <x v="2"/>
    <s v="Retail"/>
    <n v="0.15"/>
    <s v="Frank"/>
    <x v="31"/>
    <x v="0"/>
    <n v="0"/>
    <s v="REG100031"/>
    <s v="Cust 9923"/>
    <n v="12.35"/>
    <d v="2024-02-13T00:00:00"/>
    <d v="2024-02-15T00:00:00"/>
    <s v="Ryan"/>
  </r>
  <r>
    <x v="31"/>
    <x v="1"/>
    <x v="2"/>
    <x v="16"/>
    <n v="64.98"/>
    <x v="2"/>
    <s v="Retail"/>
    <n v="0"/>
    <s v="Carlos"/>
    <x v="32"/>
    <x v="3"/>
    <n v="0"/>
    <s v="REG100032"/>
    <s v="Cust 2205"/>
    <n v="21.25"/>
    <d v="2025-03-09T00:00:00"/>
    <d v="2025-03-15T00:00:00"/>
    <s v="Sophie"/>
  </r>
  <r>
    <x v="32"/>
    <x v="3"/>
    <x v="2"/>
    <x v="9"/>
    <n v="476.49"/>
    <x v="3"/>
    <s v="Retail"/>
    <n v="0"/>
    <s v="Alice"/>
    <x v="33"/>
    <x v="1"/>
    <n v="0"/>
    <s v="REG100033"/>
    <s v="Cust 6403"/>
    <n v="17.91"/>
    <d v="2023-04-05T00:00:00"/>
    <d v="2023-04-11T00:00:00"/>
    <s v="Cameron"/>
  </r>
  <r>
    <x v="33"/>
    <x v="2"/>
    <x v="4"/>
    <x v="15"/>
    <n v="559.72"/>
    <x v="3"/>
    <s v="Retail"/>
    <n v="0.15"/>
    <s v="Diana"/>
    <x v="34"/>
    <x v="0"/>
    <n v="0"/>
    <s v="REG100034"/>
    <s v="Cust 3953"/>
    <n v="41.91"/>
    <d v="2025-05-08T00:00:00"/>
    <d v="2025-05-12T00:00:00"/>
    <s v="Ryan"/>
  </r>
  <r>
    <x v="34"/>
    <x v="2"/>
    <x v="5"/>
    <x v="0"/>
    <n v="82.14"/>
    <x v="2"/>
    <s v="Retail"/>
    <n v="0"/>
    <s v="Alice"/>
    <x v="35"/>
    <x v="2"/>
    <n v="0"/>
    <s v="REG100035"/>
    <s v="Cust 7902"/>
    <n v="12.57"/>
    <d v="2023-09-03T00:00:00"/>
    <d v="2023-09-11T00:00:00"/>
    <s v="Ryan"/>
  </r>
  <r>
    <x v="35"/>
    <x v="3"/>
    <x v="3"/>
    <x v="17"/>
    <n v="343.21"/>
    <x v="1"/>
    <s v="Retail"/>
    <n v="0.05"/>
    <s v="Carlos"/>
    <x v="36"/>
    <x v="3"/>
    <n v="0"/>
    <s v="REG100036"/>
    <s v="Cust 9968"/>
    <n v="40.29"/>
    <d v="2025-03-21T00:00:00"/>
    <d v="2025-03-28T00:00:00"/>
    <s v="Cameron"/>
  </r>
  <r>
    <x v="36"/>
    <x v="1"/>
    <x v="3"/>
    <x v="4"/>
    <n v="301.01"/>
    <x v="0"/>
    <s v="Retail"/>
    <n v="0.15"/>
    <s v="Diana"/>
    <x v="37"/>
    <x v="4"/>
    <n v="1"/>
    <s v="REG100037"/>
    <s v="Cust 3787"/>
    <n v="34.97"/>
    <d v="2025-06-20T00:00:00"/>
    <d v="2025-06-30T00:00:00"/>
    <s v="Sophie"/>
  </r>
  <r>
    <x v="37"/>
    <x v="3"/>
    <x v="6"/>
    <x v="0"/>
    <n v="428.13"/>
    <x v="2"/>
    <s v="Retail"/>
    <n v="0.1"/>
    <s v="Bob"/>
    <x v="38"/>
    <x v="4"/>
    <n v="1"/>
    <s v="REG100038"/>
    <s v="Cust 2469"/>
    <n v="24.77"/>
    <d v="2024-02-15T00:00:00"/>
    <d v="2024-02-25T00:00:00"/>
    <s v="Cameron"/>
  </r>
  <r>
    <x v="38"/>
    <x v="3"/>
    <x v="0"/>
    <x v="3"/>
    <n v="503.28"/>
    <x v="3"/>
    <s v="Retail"/>
    <n v="0.15"/>
    <s v="Alice"/>
    <x v="39"/>
    <x v="1"/>
    <n v="0"/>
    <s v="REG100039"/>
    <s v="Cust 6468"/>
    <n v="34.79"/>
    <d v="2023-06-09T00:00:00"/>
    <d v="2023-06-17T00:00:00"/>
    <s v="Cameron"/>
  </r>
  <r>
    <x v="39"/>
    <x v="1"/>
    <x v="6"/>
    <x v="6"/>
    <n v="470.32"/>
    <x v="1"/>
    <s v="Retail"/>
    <n v="0.1"/>
    <s v="Eva"/>
    <x v="40"/>
    <x v="3"/>
    <n v="0"/>
    <s v="REG100040"/>
    <s v="Cust 5312"/>
    <n v="17.77"/>
    <d v="2023-08-10T00:00:00"/>
    <d v="2023-08-14T00:00:00"/>
    <s v="Sophie"/>
  </r>
  <r>
    <x v="40"/>
    <x v="3"/>
    <x v="6"/>
    <x v="11"/>
    <n v="65.17"/>
    <x v="2"/>
    <s v="Wholesale"/>
    <n v="0.05"/>
    <s v="Eva"/>
    <x v="41"/>
    <x v="1"/>
    <n v="0"/>
    <s v="REG100041"/>
    <s v="Cust 1482"/>
    <n v="21.72"/>
    <d v="2024-06-16T00:00:00"/>
    <d v="2024-06-25T00:00:00"/>
    <s v="Cameron"/>
  </r>
  <r>
    <x v="41"/>
    <x v="1"/>
    <x v="0"/>
    <x v="13"/>
    <n v="36.17"/>
    <x v="1"/>
    <s v="Retail"/>
    <n v="0"/>
    <s v="Eva"/>
    <x v="42"/>
    <x v="0"/>
    <n v="0"/>
    <s v="REG100042"/>
    <s v="Cust 7903"/>
    <n v="34.85"/>
    <d v="2023-07-23T00:00:00"/>
    <d v="2023-07-26T00:00:00"/>
    <s v="Sophie"/>
  </r>
  <r>
    <x v="42"/>
    <x v="3"/>
    <x v="6"/>
    <x v="15"/>
    <n v="459.31"/>
    <x v="3"/>
    <s v="Wholesale"/>
    <n v="0.15"/>
    <s v="Carlos"/>
    <x v="43"/>
    <x v="1"/>
    <n v="1"/>
    <s v="REG100043"/>
    <s v="Cust 9605"/>
    <n v="27.39"/>
    <d v="2023-05-20T00:00:00"/>
    <d v="2023-05-27T00:00:00"/>
    <s v="Cameron"/>
  </r>
  <r>
    <x v="43"/>
    <x v="1"/>
    <x v="0"/>
    <x v="3"/>
    <n v="416.06"/>
    <x v="3"/>
    <s v="Retail"/>
    <n v="0.05"/>
    <s v="Eva"/>
    <x v="44"/>
    <x v="3"/>
    <n v="0"/>
    <s v="REG100044"/>
    <s v="Cust 3298"/>
    <n v="11.62"/>
    <d v="2023-06-30T00:00:00"/>
    <d v="2023-07-04T00:00:00"/>
    <s v="Sophie"/>
  </r>
  <r>
    <x v="44"/>
    <x v="1"/>
    <x v="5"/>
    <x v="18"/>
    <n v="302.58"/>
    <x v="3"/>
    <s v="Retail"/>
    <n v="0"/>
    <s v="Alice"/>
    <x v="45"/>
    <x v="0"/>
    <n v="1"/>
    <s v="REG100045"/>
    <s v="Cust 5533"/>
    <n v="20.76"/>
    <d v="2024-06-04T00:00:00"/>
    <d v="2024-06-14T00:00:00"/>
    <s v="Sophie"/>
  </r>
  <r>
    <x v="45"/>
    <x v="4"/>
    <x v="3"/>
    <x v="10"/>
    <n v="33.130000000000003"/>
    <x v="1"/>
    <s v="Retail"/>
    <n v="0.15"/>
    <s v="Frank"/>
    <x v="46"/>
    <x v="0"/>
    <n v="0"/>
    <s v="REG100046"/>
    <s v="Cust 6362"/>
    <n v="24.95"/>
    <d v="2025-02-03T00:00:00"/>
    <d v="2025-02-05T00:00:00"/>
    <s v="Wendy"/>
  </r>
  <r>
    <x v="46"/>
    <x v="0"/>
    <x v="5"/>
    <x v="19"/>
    <n v="582.52"/>
    <x v="3"/>
    <s v="Retail"/>
    <n v="0.15"/>
    <s v="Frank"/>
    <x v="47"/>
    <x v="1"/>
    <n v="0"/>
    <s v="REG100047"/>
    <s v="Cust 4826"/>
    <n v="6.47"/>
    <d v="2024-01-09T00:00:00"/>
    <d v="2024-01-13T00:00:00"/>
    <s v="Eric"/>
  </r>
  <r>
    <x v="47"/>
    <x v="2"/>
    <x v="2"/>
    <x v="6"/>
    <n v="165.15"/>
    <x v="1"/>
    <s v="Retail"/>
    <n v="0.1"/>
    <s v="Eva"/>
    <x v="48"/>
    <x v="1"/>
    <n v="0"/>
    <s v="REG100048"/>
    <s v="Cust 2171"/>
    <n v="20.57"/>
    <d v="2024-03-14T00:00:00"/>
    <d v="2024-03-16T00:00:00"/>
    <s v="Ryan"/>
  </r>
  <r>
    <x v="48"/>
    <x v="4"/>
    <x v="4"/>
    <x v="0"/>
    <n v="242.82"/>
    <x v="3"/>
    <s v="Wholesale"/>
    <n v="0.15"/>
    <s v="Alice"/>
    <x v="49"/>
    <x v="4"/>
    <n v="1"/>
    <s v="REG100049"/>
    <s v="Cust 4005"/>
    <n v="20.71"/>
    <d v="2024-09-06T00:00:00"/>
    <d v="2024-09-13T00:00:00"/>
    <s v="Wendy"/>
  </r>
  <r>
    <x v="49"/>
    <x v="0"/>
    <x v="4"/>
    <x v="14"/>
    <n v="65.989999999999995"/>
    <x v="1"/>
    <s v="Wholesale"/>
    <n v="0.1"/>
    <s v="Frank"/>
    <x v="50"/>
    <x v="4"/>
    <n v="0"/>
    <s v="REG100050"/>
    <s v="Cust 7032"/>
    <n v="12.87"/>
    <d v="2023-03-17T00:00:00"/>
    <d v="2023-03-20T00:00:00"/>
    <s v="Eric"/>
  </r>
  <r>
    <x v="50"/>
    <x v="4"/>
    <x v="3"/>
    <x v="3"/>
    <n v="251.69"/>
    <x v="2"/>
    <s v="Wholesale"/>
    <n v="0"/>
    <s v="Alice"/>
    <x v="51"/>
    <x v="3"/>
    <n v="0"/>
    <s v="REG100051"/>
    <s v="Cust 7167"/>
    <n v="42.49"/>
    <d v="2025-01-17T00:00:00"/>
    <d v="2025-01-24T00:00:00"/>
    <s v="Wendy"/>
  </r>
  <r>
    <x v="51"/>
    <x v="1"/>
    <x v="0"/>
    <x v="1"/>
    <n v="269.41000000000003"/>
    <x v="0"/>
    <s v="Wholesale"/>
    <n v="0.1"/>
    <s v="Eva"/>
    <x v="52"/>
    <x v="4"/>
    <n v="1"/>
    <s v="REG100052"/>
    <s v="Cust 5702"/>
    <n v="19.22"/>
    <d v="2024-09-12T00:00:00"/>
    <d v="2024-09-18T00:00:00"/>
    <s v="Sophie"/>
  </r>
  <r>
    <x v="52"/>
    <x v="1"/>
    <x v="4"/>
    <x v="3"/>
    <n v="371.3"/>
    <x v="0"/>
    <s v="Wholesale"/>
    <n v="0.05"/>
    <s v="Bob"/>
    <x v="53"/>
    <x v="2"/>
    <n v="0"/>
    <s v="REG100053"/>
    <s v="Cust 4944"/>
    <n v="36.51"/>
    <d v="2024-01-05T00:00:00"/>
    <d v="2024-01-15T00:00:00"/>
    <s v="Sophie"/>
  </r>
  <r>
    <x v="53"/>
    <x v="4"/>
    <x v="5"/>
    <x v="10"/>
    <n v="288.24"/>
    <x v="1"/>
    <s v="Wholesale"/>
    <n v="0.15"/>
    <s v="Diana"/>
    <x v="54"/>
    <x v="0"/>
    <n v="0"/>
    <s v="REG100054"/>
    <s v="Cust 8149"/>
    <n v="37.39"/>
    <d v="2024-04-19T00:00:00"/>
    <d v="2024-04-25T00:00:00"/>
    <s v="Wendy"/>
  </r>
  <r>
    <x v="54"/>
    <x v="3"/>
    <x v="5"/>
    <x v="10"/>
    <n v="232.75"/>
    <x v="3"/>
    <s v="Wholesale"/>
    <n v="0.05"/>
    <s v="Eva"/>
    <x v="55"/>
    <x v="2"/>
    <n v="0"/>
    <s v="REG100055"/>
    <s v="Cust 3638"/>
    <n v="36.33"/>
    <d v="2025-06-11T00:00:00"/>
    <d v="2025-06-21T00:00:00"/>
    <s v="Cameron"/>
  </r>
  <r>
    <x v="55"/>
    <x v="0"/>
    <x v="1"/>
    <x v="9"/>
    <n v="146.28"/>
    <x v="0"/>
    <s v="Retail"/>
    <n v="0.15"/>
    <s v="Carlos"/>
    <x v="56"/>
    <x v="4"/>
    <n v="0"/>
    <s v="REG100056"/>
    <s v="Cust 9973"/>
    <n v="7.84"/>
    <d v="2025-03-06T00:00:00"/>
    <d v="2025-03-15T00:00:00"/>
    <s v="Eric"/>
  </r>
  <r>
    <x v="56"/>
    <x v="0"/>
    <x v="3"/>
    <x v="6"/>
    <n v="100.38"/>
    <x v="2"/>
    <s v="Retail"/>
    <n v="0.1"/>
    <s v="Eva"/>
    <x v="57"/>
    <x v="1"/>
    <n v="1"/>
    <s v="REG100057"/>
    <s v="Cust 4214"/>
    <n v="18.350000000000001"/>
    <d v="2023-05-24T00:00:00"/>
    <d v="2023-05-26T00:00:00"/>
    <s v="Eric"/>
  </r>
  <r>
    <x v="57"/>
    <x v="1"/>
    <x v="1"/>
    <x v="10"/>
    <n v="375.48"/>
    <x v="0"/>
    <s v="Retail"/>
    <n v="0.05"/>
    <s v="Bob"/>
    <x v="58"/>
    <x v="3"/>
    <n v="0"/>
    <s v="REG100058"/>
    <s v="Cust 2647"/>
    <n v="15.95"/>
    <d v="2023-01-27T00:00:00"/>
    <d v="2023-02-03T00:00:00"/>
    <s v="Sophie"/>
  </r>
  <r>
    <x v="58"/>
    <x v="1"/>
    <x v="0"/>
    <x v="2"/>
    <n v="316.89"/>
    <x v="0"/>
    <s v="Wholesale"/>
    <n v="0.05"/>
    <s v="Bob"/>
    <x v="59"/>
    <x v="4"/>
    <n v="0"/>
    <s v="REG100059"/>
    <s v="Cust 3552"/>
    <n v="15.69"/>
    <d v="2024-03-21T00:00:00"/>
    <d v="2024-03-27T00:00:00"/>
    <s v="Sophie"/>
  </r>
  <r>
    <x v="59"/>
    <x v="4"/>
    <x v="0"/>
    <x v="11"/>
    <n v="295.06"/>
    <x v="3"/>
    <s v="Retail"/>
    <n v="0.15"/>
    <s v="Frank"/>
    <x v="60"/>
    <x v="0"/>
    <n v="1"/>
    <s v="REG100060"/>
    <s v="Cust 3354"/>
    <n v="13.66"/>
    <d v="2025-01-25T00:00:00"/>
    <d v="2025-01-31T00:00:00"/>
    <s v="Wendy"/>
  </r>
  <r>
    <x v="60"/>
    <x v="3"/>
    <x v="1"/>
    <x v="19"/>
    <n v="301.68"/>
    <x v="3"/>
    <s v="Retail"/>
    <n v="0"/>
    <s v="Eva"/>
    <x v="61"/>
    <x v="4"/>
    <n v="0"/>
    <s v="REG100061"/>
    <s v="Cust 3903"/>
    <n v="36.54"/>
    <d v="2023-06-12T00:00:00"/>
    <d v="2023-06-21T00:00:00"/>
    <s v="Cameron"/>
  </r>
  <r>
    <x v="61"/>
    <x v="3"/>
    <x v="3"/>
    <x v="5"/>
    <n v="475.39"/>
    <x v="0"/>
    <s v="Retail"/>
    <n v="0.1"/>
    <s v="Alice"/>
    <x v="62"/>
    <x v="1"/>
    <n v="0"/>
    <s v="REG100062"/>
    <s v="Cust 5358"/>
    <n v="15.62"/>
    <d v="2025-03-22T00:00:00"/>
    <d v="2025-03-26T00:00:00"/>
    <s v="Cameron"/>
  </r>
  <r>
    <x v="62"/>
    <x v="3"/>
    <x v="2"/>
    <x v="18"/>
    <n v="47.25"/>
    <x v="3"/>
    <s v="Retail"/>
    <n v="0.15"/>
    <s v="Bob"/>
    <x v="63"/>
    <x v="3"/>
    <n v="0"/>
    <s v="REG100063"/>
    <s v="Cust 8144"/>
    <n v="29.5"/>
    <d v="2024-02-24T00:00:00"/>
    <d v="2024-02-27T00:00:00"/>
    <s v="Cameron"/>
  </r>
  <r>
    <x v="63"/>
    <x v="1"/>
    <x v="3"/>
    <x v="7"/>
    <n v="511.17"/>
    <x v="0"/>
    <s v="Wholesale"/>
    <n v="0"/>
    <s v="Frank"/>
    <x v="64"/>
    <x v="0"/>
    <n v="0"/>
    <s v="REG100064"/>
    <s v="Cust 6747"/>
    <n v="21.77"/>
    <d v="2023-12-09T00:00:00"/>
    <d v="2023-12-12T00:00:00"/>
    <s v="Sophie"/>
  </r>
  <r>
    <x v="64"/>
    <x v="3"/>
    <x v="4"/>
    <x v="5"/>
    <n v="66.58"/>
    <x v="0"/>
    <s v="Retail"/>
    <n v="0.1"/>
    <s v="Frank"/>
    <x v="65"/>
    <x v="3"/>
    <n v="0"/>
    <s v="REG100065"/>
    <s v="Cust 8330"/>
    <n v="22.43"/>
    <d v="2023-10-01T00:00:00"/>
    <d v="2023-10-05T00:00:00"/>
    <s v="Cameron"/>
  </r>
  <r>
    <x v="65"/>
    <x v="4"/>
    <x v="5"/>
    <x v="6"/>
    <n v="490.52"/>
    <x v="3"/>
    <s v="Wholesale"/>
    <n v="0.05"/>
    <s v="Frank"/>
    <x v="66"/>
    <x v="0"/>
    <n v="0"/>
    <s v="REG100066"/>
    <s v="Cust 7186"/>
    <n v="12.24"/>
    <d v="2023-07-31T00:00:00"/>
    <d v="2023-08-07T00:00:00"/>
    <s v="Wendy"/>
  </r>
  <r>
    <x v="66"/>
    <x v="1"/>
    <x v="3"/>
    <x v="19"/>
    <n v="405.96"/>
    <x v="1"/>
    <s v="Wholesale"/>
    <n v="0.05"/>
    <s v="Carlos"/>
    <x v="67"/>
    <x v="2"/>
    <n v="0"/>
    <s v="REG100067"/>
    <s v="Cust 8287"/>
    <n v="41.27"/>
    <d v="2024-12-24T00:00:00"/>
    <d v="2024-12-31T00:00:00"/>
    <s v="Sophie"/>
  </r>
  <r>
    <x v="67"/>
    <x v="2"/>
    <x v="1"/>
    <x v="1"/>
    <n v="159.41"/>
    <x v="0"/>
    <s v="Retail"/>
    <n v="0.1"/>
    <s v="Bob"/>
    <x v="68"/>
    <x v="2"/>
    <n v="0"/>
    <s v="REG100068"/>
    <s v="Cust 3986"/>
    <n v="35.14"/>
    <d v="2024-11-15T00:00:00"/>
    <d v="2024-11-19T00:00:00"/>
    <s v="Ryan"/>
  </r>
  <r>
    <x v="68"/>
    <x v="4"/>
    <x v="4"/>
    <x v="18"/>
    <n v="38.49"/>
    <x v="2"/>
    <s v="Retail"/>
    <n v="0.15"/>
    <s v="Carlos"/>
    <x v="69"/>
    <x v="3"/>
    <n v="0"/>
    <s v="REG100069"/>
    <s v="Cust 3213"/>
    <n v="8.3800000000000008"/>
    <d v="2025-03-13T00:00:00"/>
    <d v="2025-03-22T00:00:00"/>
    <s v="Wendy"/>
  </r>
  <r>
    <x v="69"/>
    <x v="0"/>
    <x v="5"/>
    <x v="7"/>
    <n v="328.36"/>
    <x v="3"/>
    <s v="Retail"/>
    <n v="0.15"/>
    <s v="Alice"/>
    <x v="70"/>
    <x v="1"/>
    <n v="0"/>
    <s v="REG100070"/>
    <s v="Cust 1907"/>
    <n v="15.76"/>
    <d v="2024-03-03T00:00:00"/>
    <d v="2024-03-12T00:00:00"/>
    <s v="Eric"/>
  </r>
  <r>
    <x v="70"/>
    <x v="3"/>
    <x v="5"/>
    <x v="11"/>
    <n v="548.01"/>
    <x v="1"/>
    <s v="Wholesale"/>
    <n v="0.1"/>
    <s v="Eva"/>
    <x v="71"/>
    <x v="2"/>
    <n v="1"/>
    <s v="REG100071"/>
    <s v="Cust 4639"/>
    <n v="5.89"/>
    <d v="2023-02-11T00:00:00"/>
    <d v="2023-02-14T00:00:00"/>
    <s v="Cameron"/>
  </r>
  <r>
    <x v="71"/>
    <x v="1"/>
    <x v="2"/>
    <x v="14"/>
    <n v="484.45"/>
    <x v="0"/>
    <s v="Wholesale"/>
    <n v="0.05"/>
    <s v="Carlos"/>
    <x v="72"/>
    <x v="1"/>
    <n v="1"/>
    <s v="REG100072"/>
    <s v="Cust 4153"/>
    <n v="6.57"/>
    <d v="2023-10-26T00:00:00"/>
    <d v="2023-11-05T00:00:00"/>
    <s v="Sophie"/>
  </r>
  <r>
    <x v="72"/>
    <x v="1"/>
    <x v="4"/>
    <x v="14"/>
    <n v="195.84"/>
    <x v="1"/>
    <s v="Wholesale"/>
    <n v="0.05"/>
    <s v="Alice"/>
    <x v="73"/>
    <x v="2"/>
    <n v="0"/>
    <s v="REG100073"/>
    <s v="Cust 7096"/>
    <n v="33.520000000000003"/>
    <d v="2023-10-21T00:00:00"/>
    <d v="2023-10-28T00:00:00"/>
    <s v="Sophie"/>
  </r>
  <r>
    <x v="73"/>
    <x v="3"/>
    <x v="5"/>
    <x v="8"/>
    <n v="29.94"/>
    <x v="3"/>
    <s v="Retail"/>
    <n v="0.15"/>
    <s v="Diana"/>
    <x v="74"/>
    <x v="3"/>
    <n v="0"/>
    <s v="REG100074"/>
    <s v="Cust 3806"/>
    <n v="33.590000000000003"/>
    <d v="2024-01-14T00:00:00"/>
    <d v="2024-01-20T00:00:00"/>
    <s v="Cameron"/>
  </r>
  <r>
    <x v="74"/>
    <x v="3"/>
    <x v="2"/>
    <x v="12"/>
    <n v="553.91"/>
    <x v="3"/>
    <s v="Wholesale"/>
    <n v="0.1"/>
    <s v="Eva"/>
    <x v="75"/>
    <x v="0"/>
    <n v="0"/>
    <s v="REG100075"/>
    <s v="Cust 9345"/>
    <n v="31.3"/>
    <d v="2023-07-27T00:00:00"/>
    <d v="2023-07-31T00:00:00"/>
    <s v="Cameron"/>
  </r>
  <r>
    <x v="75"/>
    <x v="1"/>
    <x v="1"/>
    <x v="0"/>
    <n v="445.52"/>
    <x v="0"/>
    <s v="Retail"/>
    <n v="0.1"/>
    <s v="Bob"/>
    <x v="76"/>
    <x v="0"/>
    <n v="0"/>
    <s v="REG100076"/>
    <s v="Cust 4456"/>
    <n v="14.41"/>
    <d v="2024-10-23T00:00:00"/>
    <d v="2024-10-25T00:00:00"/>
    <s v="Sophie"/>
  </r>
  <r>
    <x v="76"/>
    <x v="1"/>
    <x v="3"/>
    <x v="6"/>
    <n v="551.58000000000004"/>
    <x v="0"/>
    <s v="Retail"/>
    <n v="0.15"/>
    <s v="Alice"/>
    <x v="77"/>
    <x v="0"/>
    <n v="1"/>
    <s v="REG100077"/>
    <s v="Cust 1089"/>
    <n v="7.87"/>
    <d v="2023-09-26T00:00:00"/>
    <d v="2023-10-01T00:00:00"/>
    <s v="Sophie"/>
  </r>
  <r>
    <x v="77"/>
    <x v="0"/>
    <x v="1"/>
    <x v="14"/>
    <n v="241.4"/>
    <x v="3"/>
    <s v="Retail"/>
    <n v="0"/>
    <s v="Carlos"/>
    <x v="78"/>
    <x v="1"/>
    <n v="0"/>
    <s v="REG100078"/>
    <s v="Cust 7230"/>
    <n v="49.05"/>
    <d v="2023-12-16T00:00:00"/>
    <d v="2023-12-20T00:00:00"/>
    <s v="Eric"/>
  </r>
  <r>
    <x v="78"/>
    <x v="3"/>
    <x v="6"/>
    <x v="8"/>
    <n v="351.93"/>
    <x v="1"/>
    <s v="Wholesale"/>
    <n v="0"/>
    <s v="Alice"/>
    <x v="79"/>
    <x v="2"/>
    <n v="0"/>
    <s v="REG100079"/>
    <s v="Cust 6597"/>
    <n v="39.979999999999997"/>
    <d v="2024-01-02T00:00:00"/>
    <d v="2024-01-05T00:00:00"/>
    <s v="Cameron"/>
  </r>
  <r>
    <x v="79"/>
    <x v="2"/>
    <x v="1"/>
    <x v="15"/>
    <n v="83.75"/>
    <x v="1"/>
    <s v="Retail"/>
    <n v="0.05"/>
    <s v="Alice"/>
    <x v="80"/>
    <x v="3"/>
    <n v="1"/>
    <s v="REG100080"/>
    <s v="Cust 4108"/>
    <n v="38.82"/>
    <d v="2024-02-16T00:00:00"/>
    <d v="2024-02-25T00:00:00"/>
    <s v="Ryan"/>
  </r>
  <r>
    <x v="80"/>
    <x v="0"/>
    <x v="4"/>
    <x v="6"/>
    <n v="416.95"/>
    <x v="1"/>
    <s v="Wholesale"/>
    <n v="0.15"/>
    <s v="Frank"/>
    <x v="81"/>
    <x v="0"/>
    <n v="1"/>
    <s v="REG100081"/>
    <s v="Cust 2883"/>
    <n v="24.03"/>
    <d v="2024-05-03T00:00:00"/>
    <d v="2024-05-12T00:00:00"/>
    <s v="Eric"/>
  </r>
  <r>
    <x v="81"/>
    <x v="4"/>
    <x v="4"/>
    <x v="2"/>
    <n v="142.43"/>
    <x v="2"/>
    <s v="Retail"/>
    <n v="0.05"/>
    <s v="Bob"/>
    <x v="82"/>
    <x v="2"/>
    <n v="1"/>
    <s v="REG100082"/>
    <s v="Cust 5018"/>
    <n v="12.38"/>
    <d v="2023-05-27T00:00:00"/>
    <d v="2023-06-02T00:00:00"/>
    <s v="Wendy"/>
  </r>
  <r>
    <x v="82"/>
    <x v="0"/>
    <x v="2"/>
    <x v="13"/>
    <n v="582.52"/>
    <x v="1"/>
    <s v="Wholesale"/>
    <n v="0"/>
    <s v="Bob"/>
    <x v="83"/>
    <x v="2"/>
    <n v="0"/>
    <s v="REG100083"/>
    <s v="Cust 1231"/>
    <n v="41.16"/>
    <d v="2023-01-05T00:00:00"/>
    <d v="2023-01-11T00:00:00"/>
    <s v="Eric"/>
  </r>
  <r>
    <x v="83"/>
    <x v="0"/>
    <x v="3"/>
    <x v="11"/>
    <n v="129.56"/>
    <x v="1"/>
    <s v="Retail"/>
    <n v="0.15"/>
    <s v="Diana"/>
    <x v="84"/>
    <x v="0"/>
    <n v="0"/>
    <s v="REG100084"/>
    <s v="Cust 2209"/>
    <n v="40.21"/>
    <d v="2025-05-21T00:00:00"/>
    <d v="2025-05-23T00:00:00"/>
    <s v="Eric"/>
  </r>
  <r>
    <x v="12"/>
    <x v="3"/>
    <x v="5"/>
    <x v="9"/>
    <n v="431.82"/>
    <x v="0"/>
    <s v="Retail"/>
    <n v="0"/>
    <s v="Eva"/>
    <x v="85"/>
    <x v="1"/>
    <n v="1"/>
    <s v="REG100085"/>
    <s v="Cust 6684"/>
    <n v="37.75"/>
    <d v="2023-07-21T00:00:00"/>
    <d v="2023-07-25T00:00:00"/>
    <s v="Cameron"/>
  </r>
  <r>
    <x v="84"/>
    <x v="0"/>
    <x v="0"/>
    <x v="7"/>
    <n v="15.85"/>
    <x v="2"/>
    <s v="Retail"/>
    <n v="0"/>
    <s v="Bob"/>
    <x v="86"/>
    <x v="3"/>
    <n v="0"/>
    <s v="REG100086"/>
    <s v="Cust 5289"/>
    <n v="23.49"/>
    <d v="2025-05-25T00:00:00"/>
    <d v="2025-06-03T00:00:00"/>
    <s v="Eric"/>
  </r>
  <r>
    <x v="85"/>
    <x v="1"/>
    <x v="5"/>
    <x v="11"/>
    <n v="548.34"/>
    <x v="0"/>
    <s v="Retail"/>
    <n v="0.1"/>
    <s v="Bob"/>
    <x v="87"/>
    <x v="1"/>
    <n v="0"/>
    <s v="REG100087"/>
    <s v="Cust 9159"/>
    <n v="33.47"/>
    <d v="2024-11-16T00:00:00"/>
    <d v="2024-11-22T00:00:00"/>
    <s v="Sophie"/>
  </r>
  <r>
    <x v="86"/>
    <x v="2"/>
    <x v="0"/>
    <x v="18"/>
    <n v="525.83000000000004"/>
    <x v="2"/>
    <s v="Wholesale"/>
    <n v="0.05"/>
    <s v="Frank"/>
    <x v="88"/>
    <x v="0"/>
    <n v="0"/>
    <s v="REG100088"/>
    <s v="Cust 4844"/>
    <n v="36.47"/>
    <d v="2023-11-19T00:00:00"/>
    <d v="2023-11-25T00:00:00"/>
    <s v="Ryan"/>
  </r>
  <r>
    <x v="87"/>
    <x v="3"/>
    <x v="0"/>
    <x v="7"/>
    <n v="411.38"/>
    <x v="1"/>
    <s v="Wholesale"/>
    <n v="0.05"/>
    <s v="Bob"/>
    <x v="89"/>
    <x v="0"/>
    <n v="0"/>
    <s v="REG100089"/>
    <s v="Cust 3273"/>
    <n v="48.51"/>
    <d v="2025-01-12T00:00:00"/>
    <d v="2025-01-21T00:00:00"/>
    <s v="Cameron"/>
  </r>
  <r>
    <x v="88"/>
    <x v="2"/>
    <x v="4"/>
    <x v="8"/>
    <n v="559.95000000000005"/>
    <x v="1"/>
    <s v="Wholesale"/>
    <n v="0.1"/>
    <s v="Carlos"/>
    <x v="90"/>
    <x v="2"/>
    <n v="0"/>
    <s v="REG100090"/>
    <s v="Cust 8160"/>
    <n v="18.3"/>
    <d v="2023-03-29T00:00:00"/>
    <d v="2023-04-03T00:00:00"/>
    <s v="Ryan"/>
  </r>
  <r>
    <x v="89"/>
    <x v="2"/>
    <x v="2"/>
    <x v="19"/>
    <n v="179.9"/>
    <x v="2"/>
    <s v="Retail"/>
    <n v="0.05"/>
    <s v="Carlos"/>
    <x v="91"/>
    <x v="0"/>
    <n v="0"/>
    <s v="REG100091"/>
    <s v="Cust 4439"/>
    <n v="14.8"/>
    <d v="2025-03-01T00:00:00"/>
    <d v="2025-03-05T00:00:00"/>
    <s v="Ryan"/>
  </r>
  <r>
    <x v="90"/>
    <x v="2"/>
    <x v="3"/>
    <x v="13"/>
    <n v="494.15"/>
    <x v="0"/>
    <s v="Wholesale"/>
    <n v="0.15"/>
    <s v="Diana"/>
    <x v="92"/>
    <x v="0"/>
    <n v="1"/>
    <s v="REG100092"/>
    <s v="Cust 1127"/>
    <n v="18.05"/>
    <d v="2023-10-18T00:00:00"/>
    <d v="2023-10-20T00:00:00"/>
    <s v="Ryan"/>
  </r>
  <r>
    <x v="91"/>
    <x v="0"/>
    <x v="2"/>
    <x v="12"/>
    <n v="462.99"/>
    <x v="2"/>
    <s v="Wholesale"/>
    <n v="0"/>
    <s v="Bob"/>
    <x v="93"/>
    <x v="2"/>
    <n v="0"/>
    <s v="REG100093"/>
    <s v="Cust 4696"/>
    <n v="5.01"/>
    <d v="2025-04-13T00:00:00"/>
    <d v="2025-04-15T00:00:00"/>
    <s v="Eric"/>
  </r>
  <r>
    <x v="92"/>
    <x v="3"/>
    <x v="0"/>
    <x v="4"/>
    <n v="460.24"/>
    <x v="1"/>
    <s v="Retail"/>
    <n v="0.05"/>
    <s v="Alice"/>
    <x v="94"/>
    <x v="4"/>
    <n v="1"/>
    <s v="REG100094"/>
    <s v="Cust 3014"/>
    <n v="11.54"/>
    <d v="2025-05-13T00:00:00"/>
    <d v="2025-05-23T00:00:00"/>
    <s v="Cameron"/>
  </r>
  <r>
    <x v="93"/>
    <x v="4"/>
    <x v="6"/>
    <x v="9"/>
    <n v="309.52"/>
    <x v="0"/>
    <s v="Wholesale"/>
    <n v="0.05"/>
    <s v="Eva"/>
    <x v="95"/>
    <x v="0"/>
    <n v="0"/>
    <s v="REG100095"/>
    <s v="Cust 2539"/>
    <n v="6.11"/>
    <d v="2024-04-21T00:00:00"/>
    <d v="2024-04-27T00:00:00"/>
    <s v="Wendy"/>
  </r>
  <r>
    <x v="94"/>
    <x v="3"/>
    <x v="4"/>
    <x v="1"/>
    <n v="323.83"/>
    <x v="0"/>
    <s v="Wholesale"/>
    <n v="0.05"/>
    <s v="Eva"/>
    <x v="96"/>
    <x v="2"/>
    <n v="0"/>
    <s v="REG100096"/>
    <s v="Cust 3916"/>
    <n v="27.48"/>
    <d v="2025-01-31T00:00:00"/>
    <d v="2025-02-08T00:00:00"/>
    <s v="Cameron"/>
  </r>
  <r>
    <x v="95"/>
    <x v="3"/>
    <x v="3"/>
    <x v="12"/>
    <n v="503.07"/>
    <x v="2"/>
    <s v="Retail"/>
    <n v="0"/>
    <s v="Bob"/>
    <x v="97"/>
    <x v="2"/>
    <n v="0"/>
    <s v="REG100097"/>
    <s v="Cust 6329"/>
    <n v="44.61"/>
    <d v="2025-03-14T00:00:00"/>
    <d v="2025-03-19T00:00:00"/>
    <s v="Cameron"/>
  </r>
  <r>
    <x v="96"/>
    <x v="4"/>
    <x v="0"/>
    <x v="11"/>
    <n v="491.68"/>
    <x v="3"/>
    <s v="Wholesale"/>
    <n v="0.15"/>
    <s v="Alice"/>
    <x v="98"/>
    <x v="0"/>
    <n v="1"/>
    <s v="REG100098"/>
    <s v="Cust 4384"/>
    <n v="43.46"/>
    <d v="2024-05-26T00:00:00"/>
    <d v="2024-05-29T00:00:00"/>
    <s v="Wend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8" indent="0" compact="0" compactData="0" multipleFieldFilters="0" chartFormat="4">
  <location ref="A3:B9" firstHeaderRow="1" firstDataRow="1" firstDataCol="1"/>
  <pivotFields count="21">
    <pivotField compact="0" numFmtId="164" outline="0" showAll="0">
      <items count="98">
        <item x="82"/>
        <item x="7"/>
        <item x="6"/>
        <item x="57"/>
        <item x="70"/>
        <item x="0"/>
        <item x="16"/>
        <item x="21"/>
        <item x="49"/>
        <item x="88"/>
        <item x="32"/>
        <item x="28"/>
        <item x="2"/>
        <item x="42"/>
        <item x="56"/>
        <item x="81"/>
        <item x="38"/>
        <item x="60"/>
        <item x="19"/>
        <item x="4"/>
        <item x="43"/>
        <item x="12"/>
        <item x="41"/>
        <item x="74"/>
        <item x="65"/>
        <item x="23"/>
        <item x="39"/>
        <item x="34"/>
        <item x="76"/>
        <item x="64"/>
        <item x="90"/>
        <item x="72"/>
        <item x="25"/>
        <item x="71"/>
        <item x="86"/>
        <item x="18"/>
        <item x="63"/>
        <item x="77"/>
        <item x="78"/>
        <item x="52"/>
        <item x="46"/>
        <item x="73"/>
        <item x="30"/>
        <item x="37"/>
        <item x="79"/>
        <item x="22"/>
        <item x="5"/>
        <item x="62"/>
        <item x="69"/>
        <item x="47"/>
        <item x="58"/>
        <item x="10"/>
        <item x="53"/>
        <item x="93"/>
        <item x="80"/>
        <item x="24"/>
        <item x="96"/>
        <item x="17"/>
        <item x="44"/>
        <item x="40"/>
        <item x="11"/>
        <item x="48"/>
        <item x="51"/>
        <item x="8"/>
        <item x="75"/>
        <item x="67"/>
        <item x="85"/>
        <item x="27"/>
        <item x="29"/>
        <item x="14"/>
        <item x="1"/>
        <item x="66"/>
        <item x="87"/>
        <item x="50"/>
        <item x="13"/>
        <item x="59"/>
        <item x="94"/>
        <item x="45"/>
        <item x="3"/>
        <item x="89"/>
        <item x="9"/>
        <item x="55"/>
        <item x="31"/>
        <item x="68"/>
        <item x="95"/>
        <item x="35"/>
        <item x="61"/>
        <item x="91"/>
        <item x="33"/>
        <item x="15"/>
        <item x="92"/>
        <item x="83"/>
        <item x="84"/>
        <item x="20"/>
        <item x="54"/>
        <item x="26"/>
        <item x="36"/>
        <item t="default"/>
      </items>
    </pivotField>
    <pivotField axis="axisRow" compact="0" outline="0" showAll="0">
      <items count="6">
        <item x="3"/>
        <item x="0"/>
        <item x="2"/>
        <item x="1"/>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numFmtId="164" outline="0" showAll="0"/>
    <pivotField compact="0" outline="0" showAll="0"/>
    <pivotField compact="0" outline="0" showAll="0" defaultSubtotal="0"/>
    <pivotField compact="0" outline="0" showAll="0" defaultSubtotal="0"/>
    <pivotField compact="0" outline="0" showAll="0" defaultSubtotal="0">
      <items count="5">
        <item x="0"/>
        <item x="1"/>
        <item x="2"/>
        <item x="3"/>
        <item x="4"/>
      </items>
    </pivotField>
  </pivotFields>
  <rowFields count="1">
    <field x="1"/>
  </rowFields>
  <rowItems count="6">
    <i>
      <x/>
    </i>
    <i>
      <x v="1"/>
    </i>
    <i>
      <x v="2"/>
    </i>
    <i>
      <x v="3"/>
    </i>
    <i>
      <x v="4"/>
    </i>
    <i t="grand">
      <x/>
    </i>
  </rowItems>
  <colItems count="1">
    <i/>
  </colItems>
  <dataFields count="1">
    <dataField name="Sum of TotalPrice" fld="9"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8" indent="0" compact="0" compactData="0" multipleFieldFilters="0" chartFormat="11">
  <location ref="A3:B16" firstHeaderRow="1" firstDataRow="1" firstDataCol="1"/>
  <pivotFields count="21">
    <pivotField compact="0" numFmtId="164" outline="0" showAll="0">
      <items count="98">
        <item x="82"/>
        <item x="7"/>
        <item x="6"/>
        <item x="57"/>
        <item x="70"/>
        <item x="0"/>
        <item x="16"/>
        <item x="21"/>
        <item x="49"/>
        <item x="88"/>
        <item x="32"/>
        <item x="28"/>
        <item x="2"/>
        <item x="42"/>
        <item x="56"/>
        <item x="81"/>
        <item x="38"/>
        <item x="60"/>
        <item x="19"/>
        <item x="4"/>
        <item x="43"/>
        <item x="12"/>
        <item x="41"/>
        <item x="74"/>
        <item x="65"/>
        <item x="23"/>
        <item x="39"/>
        <item x="34"/>
        <item x="76"/>
        <item x="64"/>
        <item x="90"/>
        <item x="72"/>
        <item x="25"/>
        <item x="71"/>
        <item x="86"/>
        <item x="18"/>
        <item x="63"/>
        <item x="77"/>
        <item x="78"/>
        <item x="52"/>
        <item x="46"/>
        <item x="73"/>
        <item x="30"/>
        <item x="37"/>
        <item x="79"/>
        <item x="22"/>
        <item x="5"/>
        <item x="62"/>
        <item x="69"/>
        <item x="47"/>
        <item x="58"/>
        <item x="10"/>
        <item x="53"/>
        <item x="93"/>
        <item x="80"/>
        <item x="24"/>
        <item x="96"/>
        <item x="17"/>
        <item x="44"/>
        <item x="40"/>
        <item x="11"/>
        <item x="48"/>
        <item x="51"/>
        <item x="8"/>
        <item x="75"/>
        <item x="67"/>
        <item x="85"/>
        <item x="27"/>
        <item x="29"/>
        <item x="14"/>
        <item x="1"/>
        <item x="66"/>
        <item x="87"/>
        <item x="50"/>
        <item x="13"/>
        <item x="59"/>
        <item x="94"/>
        <item x="45"/>
        <item x="3"/>
        <item x="89"/>
        <item x="9"/>
        <item x="55"/>
        <item x="31"/>
        <item x="68"/>
        <item x="95"/>
        <item x="35"/>
        <item x="61"/>
        <item x="91"/>
        <item x="33"/>
        <item x="15"/>
        <item x="92"/>
        <item x="83"/>
        <item x="84"/>
        <item x="20"/>
        <item x="54"/>
        <item x="26"/>
        <item x="3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numFmtId="164" outline="0" showAll="0"/>
    <pivotField compact="0" outline="0" showAll="0"/>
    <pivotField axis="axisRow"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6">
        <item sd="0" x="0"/>
        <item sd="0" x="1"/>
        <item sd="0" x="2"/>
        <item sd="0" x="3"/>
        <item sd="0" x="4"/>
        <item t="default"/>
      </items>
    </pivotField>
  </pivotFields>
  <rowFields count="1">
    <field x="18"/>
  </rowFields>
  <rowItems count="13">
    <i>
      <x v="1"/>
    </i>
    <i>
      <x v="2"/>
    </i>
    <i>
      <x v="3"/>
    </i>
    <i>
      <x v="4"/>
    </i>
    <i>
      <x v="5"/>
    </i>
    <i>
      <x v="6"/>
    </i>
    <i>
      <x v="7"/>
    </i>
    <i>
      <x v="8"/>
    </i>
    <i>
      <x v="9"/>
    </i>
    <i>
      <x v="10"/>
    </i>
    <i>
      <x v="11"/>
    </i>
    <i>
      <x v="12"/>
    </i>
    <i t="grand">
      <x/>
    </i>
  </rowItems>
  <colItems count="1">
    <i/>
  </colItems>
  <dataFields count="1">
    <dataField name="Sum of TotalPrice" fld="9"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8" indent="0" compact="0" compactData="0" multipleFieldFilters="0" chartFormat="7">
  <location ref="A3:B11" firstHeaderRow="1" firstDataRow="1" firstDataCol="1"/>
  <pivotFields count="21">
    <pivotField compact="0" numFmtId="164" outline="0" showAll="0">
      <items count="98">
        <item x="82"/>
        <item x="7"/>
        <item x="6"/>
        <item x="57"/>
        <item x="70"/>
        <item x="0"/>
        <item x="16"/>
        <item x="21"/>
        <item x="49"/>
        <item x="88"/>
        <item x="32"/>
        <item x="28"/>
        <item x="2"/>
        <item x="42"/>
        <item x="56"/>
        <item x="81"/>
        <item x="38"/>
        <item x="60"/>
        <item x="19"/>
        <item x="4"/>
        <item x="43"/>
        <item x="12"/>
        <item x="41"/>
        <item x="74"/>
        <item x="65"/>
        <item x="23"/>
        <item x="39"/>
        <item x="34"/>
        <item x="76"/>
        <item x="64"/>
        <item x="90"/>
        <item x="72"/>
        <item x="25"/>
        <item x="71"/>
        <item x="86"/>
        <item x="18"/>
        <item x="63"/>
        <item x="77"/>
        <item x="78"/>
        <item x="52"/>
        <item x="46"/>
        <item x="73"/>
        <item x="30"/>
        <item x="37"/>
        <item x="79"/>
        <item x="22"/>
        <item x="5"/>
        <item x="62"/>
        <item x="69"/>
        <item x="47"/>
        <item x="58"/>
        <item x="10"/>
        <item x="53"/>
        <item x="93"/>
        <item x="80"/>
        <item x="24"/>
        <item x="96"/>
        <item x="17"/>
        <item x="44"/>
        <item x="40"/>
        <item x="11"/>
        <item x="48"/>
        <item x="51"/>
        <item x="8"/>
        <item x="75"/>
        <item x="67"/>
        <item x="85"/>
        <item x="27"/>
        <item x="29"/>
        <item x="14"/>
        <item x="1"/>
        <item x="66"/>
        <item x="87"/>
        <item x="50"/>
        <item x="13"/>
        <item x="59"/>
        <item x="94"/>
        <item x="45"/>
        <item x="3"/>
        <item x="89"/>
        <item x="9"/>
        <item x="55"/>
        <item x="31"/>
        <item x="68"/>
        <item x="95"/>
        <item x="35"/>
        <item x="61"/>
        <item x="91"/>
        <item x="33"/>
        <item x="15"/>
        <item x="92"/>
        <item x="83"/>
        <item x="84"/>
        <item x="20"/>
        <item x="54"/>
        <item x="26"/>
        <item x="36"/>
        <item t="default"/>
      </items>
    </pivotField>
    <pivotField compact="0" outline="0" showAll="0"/>
    <pivotField axis="axisRow" compact="0" outline="0" showAll="0">
      <items count="8">
        <item x="3"/>
        <item x="2"/>
        <item x="0"/>
        <item x="4"/>
        <item x="1"/>
        <item x="6"/>
        <item x="5"/>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6">
        <item x="4"/>
        <item x="2"/>
        <item x="3"/>
        <item x="1"/>
        <item x="0"/>
        <item t="default"/>
      </items>
    </pivotField>
    <pivotField compact="0" outline="0" showAll="0"/>
    <pivotField compact="0" outline="0" showAll="0"/>
    <pivotField compact="0" outline="0" showAll="0"/>
    <pivotField compact="0" outline="0" showAll="0"/>
    <pivotField compact="0" numFmtId="164" outline="0" showAll="0"/>
    <pivotField compact="0" numFmtId="164" outline="0" showAll="0"/>
    <pivotField compact="0" outline="0" showAll="0"/>
    <pivotField compact="0" outline="0" showAll="0" defaultSubtotal="0"/>
    <pivotField compact="0" outline="0" showAll="0" defaultSubtotal="0"/>
    <pivotField compact="0" outline="0" showAll="0" defaultSubtotal="0">
      <items count="5">
        <item x="0"/>
        <item x="1"/>
        <item x="2"/>
        <item x="3"/>
        <item x="4"/>
      </items>
    </pivotField>
  </pivotFields>
  <rowFields count="1">
    <field x="2"/>
  </rowFields>
  <rowItems count="8">
    <i>
      <x/>
    </i>
    <i>
      <x v="1"/>
    </i>
    <i>
      <x v="2"/>
    </i>
    <i>
      <x v="3"/>
    </i>
    <i>
      <x v="4"/>
    </i>
    <i>
      <x v="5"/>
    </i>
    <i>
      <x v="6"/>
    </i>
    <i t="grand">
      <x/>
    </i>
  </rowItems>
  <colItems count="1">
    <i/>
  </colItems>
  <dataFields count="1">
    <dataField name="Sum of TotalPrice" fld="9" baseField="0" baseItem="0"/>
  </dataFields>
  <chartFormats count="1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0"/>
          </reference>
        </references>
      </pivotArea>
    </chartFormat>
    <chartFormat chart="3" format="2">
      <pivotArea type="data" outline="0" fieldPosition="0">
        <references count="2">
          <reference field="4294967294" count="1" selected="0">
            <x v="0"/>
          </reference>
          <reference field="2" count="1" selected="0">
            <x v="1"/>
          </reference>
        </references>
      </pivotArea>
    </chartFormat>
    <chartFormat chart="3" format="3">
      <pivotArea type="data" outline="0" fieldPosition="0">
        <references count="2">
          <reference field="4294967294" count="1" selected="0">
            <x v="0"/>
          </reference>
          <reference field="2" count="1" selected="0">
            <x v="2"/>
          </reference>
        </references>
      </pivotArea>
    </chartFormat>
    <chartFormat chart="3" format="4">
      <pivotArea type="data" outline="0" fieldPosition="0">
        <references count="2">
          <reference field="4294967294" count="1" selected="0">
            <x v="0"/>
          </reference>
          <reference field="2" count="1" selected="0">
            <x v="3"/>
          </reference>
        </references>
      </pivotArea>
    </chartFormat>
    <chartFormat chart="3" format="5">
      <pivotArea type="data" outline="0" fieldPosition="0">
        <references count="2">
          <reference field="4294967294" count="1" selected="0">
            <x v="0"/>
          </reference>
          <reference field="2" count="1" selected="0">
            <x v="4"/>
          </reference>
        </references>
      </pivotArea>
    </chartFormat>
    <chartFormat chart="3" format="6">
      <pivotArea type="data" outline="0" fieldPosition="0">
        <references count="2">
          <reference field="4294967294" count="1" selected="0">
            <x v="0"/>
          </reference>
          <reference field="2" count="1" selected="0">
            <x v="5"/>
          </reference>
        </references>
      </pivotArea>
    </chartFormat>
    <chartFormat chart="3" format="7">
      <pivotArea type="data" outline="0" fieldPosition="0">
        <references count="2">
          <reference field="4294967294" count="1" selected="0">
            <x v="0"/>
          </reference>
          <reference field="2" count="1" selected="0">
            <x v="6"/>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2" count="1" selected="0">
            <x v="0"/>
          </reference>
        </references>
      </pivotArea>
    </chartFormat>
    <chartFormat chart="6" format="18">
      <pivotArea type="data" outline="0" fieldPosition="0">
        <references count="2">
          <reference field="4294967294" count="1" selected="0">
            <x v="0"/>
          </reference>
          <reference field="2" count="1" selected="0">
            <x v="1"/>
          </reference>
        </references>
      </pivotArea>
    </chartFormat>
    <chartFormat chart="6" format="19">
      <pivotArea type="data" outline="0" fieldPosition="0">
        <references count="2">
          <reference field="4294967294" count="1" selected="0">
            <x v="0"/>
          </reference>
          <reference field="2" count="1" selected="0">
            <x v="2"/>
          </reference>
        </references>
      </pivotArea>
    </chartFormat>
    <chartFormat chart="6" format="20">
      <pivotArea type="data" outline="0" fieldPosition="0">
        <references count="2">
          <reference field="4294967294" count="1" selected="0">
            <x v="0"/>
          </reference>
          <reference field="2" count="1" selected="0">
            <x v="3"/>
          </reference>
        </references>
      </pivotArea>
    </chartFormat>
    <chartFormat chart="6" format="21">
      <pivotArea type="data" outline="0" fieldPosition="0">
        <references count="2">
          <reference field="4294967294" count="1" selected="0">
            <x v="0"/>
          </reference>
          <reference field="2" count="1" selected="0">
            <x v="4"/>
          </reference>
        </references>
      </pivotArea>
    </chartFormat>
    <chartFormat chart="6" format="22">
      <pivotArea type="data" outline="0" fieldPosition="0">
        <references count="2">
          <reference field="4294967294" count="1" selected="0">
            <x v="0"/>
          </reference>
          <reference field="2" count="1" selected="0">
            <x v="5"/>
          </reference>
        </references>
      </pivotArea>
    </chartFormat>
    <chartFormat chart="6" format="23">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compact="0" compactData="0" multipleFieldFilters="0" chartFormat="5">
  <location ref="A3:B9" firstHeaderRow="1" firstDataRow="1" firstDataCol="1"/>
  <pivotFields count="21">
    <pivotField compact="0" numFmtId="164" outline="0" showAll="0">
      <items count="98">
        <item x="82"/>
        <item x="7"/>
        <item x="6"/>
        <item x="57"/>
        <item x="70"/>
        <item x="0"/>
        <item x="16"/>
        <item x="21"/>
        <item x="49"/>
        <item x="88"/>
        <item x="32"/>
        <item x="28"/>
        <item x="2"/>
        <item x="42"/>
        <item x="56"/>
        <item x="81"/>
        <item x="38"/>
        <item x="60"/>
        <item x="19"/>
        <item x="4"/>
        <item x="43"/>
        <item x="12"/>
        <item x="41"/>
        <item x="74"/>
        <item x="65"/>
        <item x="23"/>
        <item x="39"/>
        <item x="34"/>
        <item x="76"/>
        <item x="64"/>
        <item x="90"/>
        <item x="72"/>
        <item x="25"/>
        <item x="71"/>
        <item x="86"/>
        <item x="18"/>
        <item x="63"/>
        <item x="77"/>
        <item x="78"/>
        <item x="52"/>
        <item x="46"/>
        <item x="73"/>
        <item x="30"/>
        <item x="37"/>
        <item x="79"/>
        <item x="22"/>
        <item x="5"/>
        <item x="62"/>
        <item x="69"/>
        <item x="47"/>
        <item x="58"/>
        <item x="10"/>
        <item x="53"/>
        <item x="93"/>
        <item x="80"/>
        <item x="24"/>
        <item x="96"/>
        <item x="17"/>
        <item x="44"/>
        <item x="40"/>
        <item x="11"/>
        <item x="48"/>
        <item x="51"/>
        <item x="8"/>
        <item x="75"/>
        <item x="67"/>
        <item x="85"/>
        <item x="27"/>
        <item x="29"/>
        <item x="14"/>
        <item x="1"/>
        <item x="66"/>
        <item x="87"/>
        <item x="50"/>
        <item x="13"/>
        <item x="59"/>
        <item x="94"/>
        <item x="45"/>
        <item x="3"/>
        <item x="89"/>
        <item x="9"/>
        <item x="55"/>
        <item x="31"/>
        <item x="68"/>
        <item x="95"/>
        <item x="35"/>
        <item x="61"/>
        <item x="91"/>
        <item x="33"/>
        <item x="15"/>
        <item x="92"/>
        <item x="83"/>
        <item x="84"/>
        <item x="20"/>
        <item x="54"/>
        <item x="26"/>
        <item x="36"/>
        <item t="default"/>
      </items>
    </pivotField>
    <pivotField axis="axisRow" compact="0" outline="0" showAll="0">
      <items count="6">
        <item x="3"/>
        <item x="0"/>
        <item x="2"/>
        <item x="1"/>
        <item x="4"/>
        <item t="default"/>
      </items>
    </pivotField>
    <pivotField compact="0" outline="0" showAll="0">
      <items count="8">
        <item x="3"/>
        <item x="2"/>
        <item x="0"/>
        <item x="4"/>
        <item x="1"/>
        <item x="6"/>
        <item x="5"/>
        <item t="default"/>
      </items>
    </pivotField>
    <pivotField dataField="1" compact="0" outline="0" showAll="0">
      <items count="21">
        <item x="1"/>
        <item x="3"/>
        <item x="5"/>
        <item x="15"/>
        <item x="6"/>
        <item x="16"/>
        <item x="4"/>
        <item x="19"/>
        <item x="17"/>
        <item x="12"/>
        <item x="10"/>
        <item x="13"/>
        <item x="14"/>
        <item x="0"/>
        <item x="7"/>
        <item x="18"/>
        <item x="9"/>
        <item x="2"/>
        <item x="8"/>
        <item x="11"/>
        <item t="default"/>
      </items>
    </pivotField>
    <pivotField compact="0" outline="0" showAll="0"/>
    <pivotField compact="0" outline="0" showAll="0">
      <items count="5">
        <item x="1"/>
        <item x="0"/>
        <item x="2"/>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numFmtId="164" outline="0" showAll="0"/>
    <pivotField compact="0" outline="0" showAll="0"/>
    <pivotField compact="0" outline="0" showAll="0" defaultSubtotal="0"/>
    <pivotField compact="0" outline="0" showAll="0" defaultSubtotal="0"/>
    <pivotField compact="0" outline="0" showAll="0" defaultSubtotal="0">
      <items count="5">
        <item x="0"/>
        <item x="1"/>
        <item x="2"/>
        <item x="3"/>
        <item x="4"/>
      </items>
    </pivotField>
  </pivotFields>
  <rowFields count="1">
    <field x="1"/>
  </rowFields>
  <rowItems count="6">
    <i>
      <x/>
    </i>
    <i>
      <x v="1"/>
    </i>
    <i>
      <x v="2"/>
    </i>
    <i>
      <x v="3"/>
    </i>
    <i>
      <x v="4"/>
    </i>
    <i t="grand">
      <x/>
    </i>
  </rowItems>
  <colItems count="1">
    <i/>
  </colItems>
  <dataFields count="1">
    <dataField name="Sum of Quantity" fld="3"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compact="0" compactData="0" multipleFieldFilters="0" chartFormat="5">
  <location ref="A3:B9" firstHeaderRow="1" firstDataRow="1" firstDataCol="1"/>
  <pivotFields count="21">
    <pivotField compact="0" numFmtId="164" outline="0" showAll="0">
      <items count="98">
        <item x="82"/>
        <item x="7"/>
        <item x="6"/>
        <item x="57"/>
        <item x="70"/>
        <item x="0"/>
        <item x="16"/>
        <item x="21"/>
        <item x="49"/>
        <item x="88"/>
        <item x="32"/>
        <item x="28"/>
        <item x="2"/>
        <item x="42"/>
        <item x="56"/>
        <item x="81"/>
        <item x="38"/>
        <item x="60"/>
        <item x="19"/>
        <item x="4"/>
        <item x="43"/>
        <item x="12"/>
        <item x="41"/>
        <item x="74"/>
        <item x="65"/>
        <item x="23"/>
        <item x="39"/>
        <item x="34"/>
        <item x="76"/>
        <item x="64"/>
        <item x="90"/>
        <item x="72"/>
        <item x="25"/>
        <item x="71"/>
        <item x="86"/>
        <item x="18"/>
        <item x="63"/>
        <item x="77"/>
        <item x="78"/>
        <item x="52"/>
        <item x="46"/>
        <item x="73"/>
        <item x="30"/>
        <item x="37"/>
        <item x="79"/>
        <item x="22"/>
        <item x="5"/>
        <item x="62"/>
        <item x="69"/>
        <item x="47"/>
        <item x="58"/>
        <item x="10"/>
        <item x="53"/>
        <item x="93"/>
        <item x="80"/>
        <item x="24"/>
        <item x="96"/>
        <item x="17"/>
        <item x="44"/>
        <item x="40"/>
        <item x="11"/>
        <item x="48"/>
        <item x="51"/>
        <item x="8"/>
        <item x="75"/>
        <item x="67"/>
        <item x="85"/>
        <item x="27"/>
        <item x="29"/>
        <item x="14"/>
        <item x="1"/>
        <item x="66"/>
        <item x="87"/>
        <item x="50"/>
        <item x="13"/>
        <item x="59"/>
        <item x="94"/>
        <item x="45"/>
        <item x="3"/>
        <item x="89"/>
        <item x="9"/>
        <item x="55"/>
        <item x="31"/>
        <item x="68"/>
        <item x="95"/>
        <item x="35"/>
        <item x="61"/>
        <item x="91"/>
        <item x="33"/>
        <item x="15"/>
        <item x="92"/>
        <item x="83"/>
        <item x="84"/>
        <item x="20"/>
        <item x="54"/>
        <item x="26"/>
        <item x="3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items count="100">
        <item x="26"/>
        <item x="6"/>
        <item x="12"/>
        <item x="13"/>
        <item x="68"/>
        <item x="28"/>
        <item x="65"/>
        <item x="86"/>
        <item x="52"/>
        <item x="96"/>
        <item x="46"/>
        <item x="80"/>
        <item x="32"/>
        <item x="29"/>
        <item x="19"/>
        <item x="42"/>
        <item x="57"/>
        <item x="74"/>
        <item x="51"/>
        <item x="69"/>
        <item x="1"/>
        <item x="63"/>
        <item x="5"/>
        <item x="53"/>
        <item x="48"/>
        <item x="50"/>
        <item x="44"/>
        <item x="7"/>
        <item x="39"/>
        <item x="27"/>
        <item x="35"/>
        <item x="8"/>
        <item x="41"/>
        <item x="62"/>
        <item x="91"/>
        <item x="24"/>
        <item x="9"/>
        <item x="43"/>
        <item x="81"/>
        <item x="37"/>
        <item x="34"/>
        <item x="56"/>
        <item x="40"/>
        <item x="84"/>
        <item x="0"/>
        <item x="66"/>
        <item x="77"/>
        <item x="61"/>
        <item x="73"/>
        <item x="55"/>
        <item x="82"/>
        <item x="31"/>
        <item x="15"/>
        <item x="54"/>
        <item x="14"/>
        <item x="49"/>
        <item x="36"/>
        <item x="94"/>
        <item x="67"/>
        <item x="78"/>
        <item x="20"/>
        <item x="11"/>
        <item x="30"/>
        <item x="58"/>
        <item x="47"/>
        <item x="21"/>
        <item x="70"/>
        <item x="4"/>
        <item x="2"/>
        <item x="16"/>
        <item x="93"/>
        <item x="23"/>
        <item x="45"/>
        <item x="75"/>
        <item x="95"/>
        <item x="60"/>
        <item x="97"/>
        <item x="92"/>
        <item x="38"/>
        <item x="59"/>
        <item x="22"/>
        <item x="76"/>
        <item x="89"/>
        <item x="3"/>
        <item x="72"/>
        <item x="17"/>
        <item x="10"/>
        <item x="79"/>
        <item x="83"/>
        <item x="25"/>
        <item x="85"/>
        <item x="64"/>
        <item x="88"/>
        <item x="33"/>
        <item x="98"/>
        <item x="18"/>
        <item x="90"/>
        <item x="71"/>
        <item x="87"/>
        <item t="default"/>
      </items>
    </pivotField>
    <pivotField axis="axisRow" compact="0" outline="0" showAll="0">
      <items count="6">
        <item x="4"/>
        <item x="2"/>
        <item x="3"/>
        <item x="1"/>
        <item x="0"/>
        <item t="default"/>
      </items>
    </pivotField>
    <pivotField compact="0" outline="0" showAll="0"/>
    <pivotField compact="0" outline="0" showAll="0"/>
    <pivotField compact="0" outline="0" showAll="0"/>
    <pivotField compact="0" outline="0" showAll="0"/>
    <pivotField compact="0" numFmtId="164" outline="0" showAll="0"/>
    <pivotField compact="0" numFmtId="164" outline="0" showAll="0"/>
    <pivotField compact="0" outline="0" showAll="0"/>
    <pivotField compact="0" outline="0" showAll="0" defaultSubtotal="0"/>
    <pivotField compact="0" outline="0" showAll="0" defaultSubtotal="0"/>
    <pivotField compact="0" outline="0" showAll="0" defaultSubtotal="0">
      <items count="5">
        <item x="0"/>
        <item x="1"/>
        <item x="2"/>
        <item x="3"/>
        <item x="4"/>
      </items>
    </pivotField>
  </pivotFields>
  <rowFields count="1">
    <field x="10"/>
  </rowFields>
  <rowItems count="6">
    <i>
      <x/>
    </i>
    <i>
      <x v="1"/>
    </i>
    <i>
      <x v="2"/>
    </i>
    <i>
      <x v="3"/>
    </i>
    <i>
      <x v="4"/>
    </i>
    <i t="grand">
      <x/>
    </i>
  </rowItems>
  <colItems count="1">
    <i/>
  </colItems>
  <dataFields count="1">
    <dataField name="Sum of TotalPrice" fld="9"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0" format="5">
      <pivotArea type="data" outline="0" fieldPosition="0">
        <references count="2">
          <reference field="4294967294" count="1" selected="0">
            <x v="0"/>
          </reference>
          <reference field="10" count="1" selected="0">
            <x v="4"/>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0" count="1" selected="0">
            <x v="0"/>
          </reference>
        </references>
      </pivotArea>
    </chartFormat>
    <chartFormat chart="4" format="14">
      <pivotArea type="data" outline="0" fieldPosition="0">
        <references count="2">
          <reference field="4294967294" count="1" selected="0">
            <x v="0"/>
          </reference>
          <reference field="10" count="1" selected="0">
            <x v="1"/>
          </reference>
        </references>
      </pivotArea>
    </chartFormat>
    <chartFormat chart="4" format="15">
      <pivotArea type="data" outline="0" fieldPosition="0">
        <references count="2">
          <reference field="4294967294" count="1" selected="0">
            <x v="0"/>
          </reference>
          <reference field="10" count="1" selected="0">
            <x v="2"/>
          </reference>
        </references>
      </pivotArea>
    </chartFormat>
    <chartFormat chart="4" format="16">
      <pivotArea type="data" outline="0" fieldPosition="0">
        <references count="2">
          <reference field="4294967294" count="1" selected="0">
            <x v="0"/>
          </reference>
          <reference field="10" count="1" selected="0">
            <x v="3"/>
          </reference>
        </references>
      </pivotArea>
    </chartFormat>
    <chartFormat chart="4" format="17">
      <pivotArea type="data" outline="0" fieldPosition="0">
        <references count="2">
          <reference field="4294967294" count="1" selected="0">
            <x v="0"/>
          </reference>
          <reference field="10" count="1" selected="0">
            <x v="4"/>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2"/>
  </pivotTables>
  <data>
    <tabular pivotCacheId="1">
      <items count="5">
        <i x="3"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aymentMethod" sourceName="PaymentMethod">
  <pivotTables>
    <pivotTable tabId="8" name="PivotTable2"/>
  </pivotTables>
  <data>
    <tabular pivotCacheId="1">
      <items count="5">
        <i x="4" s="1"/>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s__Date" sourceName="Months (Date)">
  <pivotTables>
    <pivotTable tabId="4" name="PivotTable1"/>
  </pivotTables>
  <data>
    <tabular pivotCacheId="1">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1" cache="Slicer_Region" caption="Region" rowHeight="241300"/>
  <slicer name="Months (Date) 1" cache="Slicer_Months__Date" caption="Months (Date)"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Months (Date)" cache="Slicer_Months__Date" caption="Months (Date)"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PaymentMethod" cache="Slicer_PaymentMethod" caption="PaymentMethod" rowHeight="241300"/>
</slicers>
</file>

<file path=xl/tables/table1.xml><?xml version="1.0" encoding="utf-8"?>
<table xmlns="http://schemas.openxmlformats.org/spreadsheetml/2006/main" id="1" name="Table1" displayName="Table1" ref="A1:R100" totalsRowShown="0" headerRowDxfId="21" dataDxfId="19" headerRowBorderDxfId="20" tableBorderDxfId="18">
  <autoFilter ref="A1:R100"/>
  <tableColumns count="18">
    <tableColumn id="1" name="Date" dataDxfId="17"/>
    <tableColumn id="2" name="Region" dataDxfId="16"/>
    <tableColumn id="3" name="DeliveryDate" dataDxfId="15"/>
    <tableColumn id="4" name="ShippingCost" dataDxfId="14"/>
    <tableColumn id="5" name="UnitPrice" dataDxfId="13"/>
    <tableColumn id="6" name="StoreLocation" dataDxfId="12"/>
    <tableColumn id="7" name="CustomerType" dataDxfId="11"/>
    <tableColumn id="8" name="Discount" dataDxfId="10"/>
    <tableColumn id="9" name="Salesperson" dataDxfId="9"/>
    <tableColumn id="10" name="OrderDate" dataDxfId="8"/>
    <tableColumn id="11" name="PaymentMethod" dataDxfId="7"/>
    <tableColumn id="13" name="Returned" dataDxfId="6"/>
    <tableColumn id="14" name="OrderID" dataDxfId="5"/>
    <tableColumn id="15" name="CustomerName" dataDxfId="4"/>
    <tableColumn id="16" name="Quantity" dataDxfId="3"/>
    <tableColumn id="17" name="TotalPrice" dataDxfId="2"/>
    <tableColumn id="18" name="Product2" dataDxfId="1"/>
    <tableColumn id="19" name="RegionManage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0"/>
  <sheetViews>
    <sheetView zoomScale="79" workbookViewId="0">
      <selection activeCell="I28" sqref="I28"/>
    </sheetView>
  </sheetViews>
  <sheetFormatPr defaultRowHeight="15" x14ac:dyDescent="0.25"/>
  <cols>
    <col min="1" max="2" width="11.28515625" bestFit="1" customWidth="1"/>
    <col min="3" max="3" width="12.140625" bestFit="1" customWidth="1"/>
    <col min="4" max="4" width="12.7109375" bestFit="1" customWidth="1"/>
    <col min="5" max="5" width="13.140625" bestFit="1" customWidth="1"/>
    <col min="6" max="6" width="17.140625" bestFit="1" customWidth="1"/>
    <col min="7" max="7" width="17.7109375" bestFit="1" customWidth="1"/>
    <col min="8" max="8" width="12.7109375" bestFit="1" customWidth="1"/>
    <col min="9" max="9" width="15.42578125" bestFit="1" customWidth="1"/>
    <col min="10" max="10" width="13.7109375" bestFit="1" customWidth="1"/>
    <col min="11" max="11" width="19.85546875" bestFit="1" customWidth="1"/>
    <col min="12" max="12" width="13.28515625" bestFit="1" customWidth="1"/>
    <col min="13" max="13" width="12" bestFit="1" customWidth="1"/>
    <col min="14" max="14" width="18.7109375" bestFit="1" customWidth="1"/>
    <col min="15" max="15" width="16.42578125" bestFit="1" customWidth="1"/>
    <col min="16" max="16" width="14.140625" bestFit="1" customWidth="1"/>
    <col min="18" max="18" width="18.85546875" bestFit="1" customWidth="1"/>
    <col min="20" max="20" width="16.140625" bestFit="1" customWidth="1"/>
    <col min="22" max="22" width="11.28515625" bestFit="1" customWidth="1"/>
  </cols>
  <sheetData>
    <row r="1" spans="1:18" x14ac:dyDescent="0.25">
      <c r="A1" s="1" t="s">
        <v>0</v>
      </c>
      <c r="B1" s="1" t="s">
        <v>1</v>
      </c>
      <c r="C1" s="1" t="s">
        <v>16</v>
      </c>
      <c r="D1" s="1" t="s">
        <v>14</v>
      </c>
      <c r="E1" s="1" t="s">
        <v>4</v>
      </c>
      <c r="F1" s="1" t="s">
        <v>5</v>
      </c>
      <c r="G1" s="1" t="s">
        <v>6</v>
      </c>
      <c r="H1" s="1" t="s">
        <v>7</v>
      </c>
      <c r="I1" s="1" t="s">
        <v>8</v>
      </c>
      <c r="J1" s="1" t="s">
        <v>15</v>
      </c>
      <c r="K1" s="1" t="s">
        <v>10</v>
      </c>
      <c r="L1" s="1" t="s">
        <v>11</v>
      </c>
      <c r="M1" s="1" t="s">
        <v>12</v>
      </c>
      <c r="N1" s="1" t="s">
        <v>13</v>
      </c>
      <c r="O1" s="1" t="s">
        <v>3</v>
      </c>
      <c r="P1" s="1" t="s">
        <v>9</v>
      </c>
      <c r="Q1" t="s">
        <v>269</v>
      </c>
      <c r="R1" s="1" t="s">
        <v>17</v>
      </c>
    </row>
    <row r="2" spans="1:18" x14ac:dyDescent="0.25">
      <c r="A2" s="2">
        <v>44980</v>
      </c>
      <c r="B2" s="3" t="s">
        <v>18</v>
      </c>
      <c r="C2" s="2">
        <v>44984</v>
      </c>
      <c r="D2" s="6">
        <v>43.34</v>
      </c>
      <c r="E2" s="3">
        <v>163.6</v>
      </c>
      <c r="F2" s="3" t="s">
        <v>20</v>
      </c>
      <c r="G2" s="3" t="s">
        <v>21</v>
      </c>
      <c r="H2" s="3">
        <v>0</v>
      </c>
      <c r="I2" s="3" t="s">
        <v>22</v>
      </c>
      <c r="J2" s="7">
        <v>44980</v>
      </c>
      <c r="K2" s="3" t="s">
        <v>23</v>
      </c>
      <c r="L2" s="3">
        <v>0</v>
      </c>
      <c r="M2" s="3" t="s">
        <v>24</v>
      </c>
      <c r="N2" s="3" t="s">
        <v>25</v>
      </c>
      <c r="O2" s="3">
        <v>14</v>
      </c>
      <c r="P2" s="3">
        <v>2290.4</v>
      </c>
      <c r="Q2" s="3" t="s">
        <v>19</v>
      </c>
      <c r="R2" s="3" t="s">
        <v>26</v>
      </c>
    </row>
    <row r="3" spans="1:18" x14ac:dyDescent="0.25">
      <c r="A3" s="2">
        <v>45645</v>
      </c>
      <c r="B3" s="3" t="s">
        <v>27</v>
      </c>
      <c r="C3" s="2">
        <v>45654</v>
      </c>
      <c r="D3" s="8">
        <v>5.3</v>
      </c>
      <c r="E3" s="3">
        <v>544.01</v>
      </c>
      <c r="F3" s="3" t="s">
        <v>29</v>
      </c>
      <c r="G3" s="3" t="s">
        <v>30</v>
      </c>
      <c r="H3" s="3">
        <v>0</v>
      </c>
      <c r="I3" s="3" t="s">
        <v>31</v>
      </c>
      <c r="J3" s="9">
        <v>45645</v>
      </c>
      <c r="K3" s="3" t="s">
        <v>32</v>
      </c>
      <c r="L3" s="3">
        <v>0</v>
      </c>
      <c r="M3" s="3" t="s">
        <v>33</v>
      </c>
      <c r="N3" s="3" t="s">
        <v>34</v>
      </c>
      <c r="O3" s="3">
        <v>1</v>
      </c>
      <c r="P3" s="3">
        <v>544.01</v>
      </c>
      <c r="Q3" s="3" t="s">
        <v>28</v>
      </c>
      <c r="R3" s="3" t="s">
        <v>35</v>
      </c>
    </row>
    <row r="4" spans="1:18" x14ac:dyDescent="0.25">
      <c r="A4" s="2">
        <v>45056</v>
      </c>
      <c r="B4" s="3" t="s">
        <v>36</v>
      </c>
      <c r="C4" s="2">
        <v>45065</v>
      </c>
      <c r="D4" s="6">
        <v>20.46</v>
      </c>
      <c r="E4" s="3">
        <v>346.18</v>
      </c>
      <c r="F4" s="3" t="s">
        <v>20</v>
      </c>
      <c r="G4" s="3" t="s">
        <v>21</v>
      </c>
      <c r="H4" s="3">
        <v>0.1</v>
      </c>
      <c r="I4" s="3" t="s">
        <v>31</v>
      </c>
      <c r="J4" s="7">
        <v>45056</v>
      </c>
      <c r="K4" s="3" t="s">
        <v>23</v>
      </c>
      <c r="L4" s="3">
        <v>0</v>
      </c>
      <c r="M4" s="3" t="s">
        <v>38</v>
      </c>
      <c r="N4" s="3" t="s">
        <v>39</v>
      </c>
      <c r="O4" s="3">
        <v>14</v>
      </c>
      <c r="P4" s="3">
        <v>4361.8680000000004</v>
      </c>
      <c r="Q4" s="3" t="s">
        <v>37</v>
      </c>
      <c r="R4" s="3" t="s">
        <v>40</v>
      </c>
    </row>
    <row r="5" spans="1:18" x14ac:dyDescent="0.25">
      <c r="A5" s="2">
        <v>45714</v>
      </c>
      <c r="B5" s="3" t="s">
        <v>41</v>
      </c>
      <c r="C5" s="2">
        <v>45718</v>
      </c>
      <c r="D5" s="8">
        <v>27.95</v>
      </c>
      <c r="E5" s="3">
        <v>384.82</v>
      </c>
      <c r="F5" s="3" t="s">
        <v>29</v>
      </c>
      <c r="G5" s="3" t="s">
        <v>21</v>
      </c>
      <c r="H5" s="3">
        <v>0.15</v>
      </c>
      <c r="I5" s="3" t="s">
        <v>43</v>
      </c>
      <c r="J5" s="9">
        <v>45714</v>
      </c>
      <c r="K5" s="3" t="s">
        <v>32</v>
      </c>
      <c r="L5" s="3">
        <v>0</v>
      </c>
      <c r="M5" s="3" t="s">
        <v>44</v>
      </c>
      <c r="N5" s="3" t="s">
        <v>45</v>
      </c>
      <c r="O5" s="3">
        <v>18</v>
      </c>
      <c r="P5" s="3">
        <v>5887.7460000000001</v>
      </c>
      <c r="Q5" s="3" t="s">
        <v>42</v>
      </c>
      <c r="R5" s="3" t="s">
        <v>46</v>
      </c>
    </row>
    <row r="6" spans="1:18" x14ac:dyDescent="0.25">
      <c r="A6" s="2">
        <v>45101</v>
      </c>
      <c r="B6" s="3" t="s">
        <v>18</v>
      </c>
      <c r="C6" s="2">
        <v>45104</v>
      </c>
      <c r="D6" s="6">
        <v>5.73</v>
      </c>
      <c r="E6" s="3">
        <v>237.76</v>
      </c>
      <c r="F6" s="3" t="s">
        <v>47</v>
      </c>
      <c r="G6" s="3" t="s">
        <v>30</v>
      </c>
      <c r="H6" s="3">
        <v>0</v>
      </c>
      <c r="I6" s="3" t="s">
        <v>48</v>
      </c>
      <c r="J6" s="7">
        <v>45101</v>
      </c>
      <c r="K6" s="3" t="s">
        <v>23</v>
      </c>
      <c r="L6" s="3">
        <v>0</v>
      </c>
      <c r="M6" s="3" t="s">
        <v>49</v>
      </c>
      <c r="N6" s="3" t="s">
        <v>50</v>
      </c>
      <c r="O6" s="3">
        <v>18</v>
      </c>
      <c r="P6" s="3">
        <v>4279.68</v>
      </c>
      <c r="Q6" s="3" t="s">
        <v>37</v>
      </c>
      <c r="R6" s="3" t="s">
        <v>26</v>
      </c>
    </row>
    <row r="7" spans="1:18" x14ac:dyDescent="0.25">
      <c r="A7" s="2">
        <v>45342</v>
      </c>
      <c r="B7" s="3" t="s">
        <v>41</v>
      </c>
      <c r="C7" s="2">
        <v>45352</v>
      </c>
      <c r="D7" s="8">
        <v>11.92</v>
      </c>
      <c r="E7" s="3">
        <v>385.09</v>
      </c>
      <c r="F7" s="3" t="s">
        <v>52</v>
      </c>
      <c r="G7" s="3" t="s">
        <v>21</v>
      </c>
      <c r="H7" s="3">
        <v>0.15</v>
      </c>
      <c r="I7" s="3" t="s">
        <v>53</v>
      </c>
      <c r="J7" s="9">
        <v>45342</v>
      </c>
      <c r="K7" s="3" t="s">
        <v>54</v>
      </c>
      <c r="L7" s="3">
        <v>0</v>
      </c>
      <c r="M7" s="3" t="s">
        <v>55</v>
      </c>
      <c r="N7" s="3" t="s">
        <v>56</v>
      </c>
      <c r="O7" s="3">
        <v>2</v>
      </c>
      <c r="P7" s="3">
        <v>654.65299999999991</v>
      </c>
      <c r="Q7" s="3" t="s">
        <v>51</v>
      </c>
      <c r="R7" s="3" t="s">
        <v>46</v>
      </c>
    </row>
    <row r="8" spans="1:18" x14ac:dyDescent="0.25">
      <c r="A8" s="2">
        <v>44937</v>
      </c>
      <c r="B8" s="3" t="s">
        <v>27</v>
      </c>
      <c r="C8" s="2">
        <v>44940</v>
      </c>
      <c r="D8" s="6">
        <v>5.0199999999999996</v>
      </c>
      <c r="E8" s="3">
        <v>17.5</v>
      </c>
      <c r="F8" s="3" t="s">
        <v>47</v>
      </c>
      <c r="G8" s="3" t="s">
        <v>30</v>
      </c>
      <c r="H8" s="3">
        <v>0.1</v>
      </c>
      <c r="I8" s="3" t="s">
        <v>31</v>
      </c>
      <c r="J8" s="7">
        <v>44937</v>
      </c>
      <c r="K8" s="3" t="s">
        <v>57</v>
      </c>
      <c r="L8" s="3">
        <v>0</v>
      </c>
      <c r="M8" s="3" t="s">
        <v>58</v>
      </c>
      <c r="N8" s="3" t="s">
        <v>59</v>
      </c>
      <c r="O8" s="3">
        <v>7</v>
      </c>
      <c r="P8" s="3">
        <v>110.25</v>
      </c>
      <c r="Q8" s="3" t="s">
        <v>42</v>
      </c>
      <c r="R8" s="3" t="s">
        <v>35</v>
      </c>
    </row>
    <row r="9" spans="1:18" x14ac:dyDescent="0.25">
      <c r="A9" s="2">
        <v>44935</v>
      </c>
      <c r="B9" s="3" t="s">
        <v>41</v>
      </c>
      <c r="C9" s="2">
        <v>44937</v>
      </c>
      <c r="D9" s="8">
        <v>48.01</v>
      </c>
      <c r="E9" s="3">
        <v>330.22</v>
      </c>
      <c r="F9" s="3" t="s">
        <v>47</v>
      </c>
      <c r="G9" s="3" t="s">
        <v>21</v>
      </c>
      <c r="H9" s="3">
        <v>0.15</v>
      </c>
      <c r="I9" s="3" t="s">
        <v>48</v>
      </c>
      <c r="J9" s="9">
        <v>44935</v>
      </c>
      <c r="K9" s="3" t="s">
        <v>60</v>
      </c>
      <c r="L9" s="3">
        <v>0</v>
      </c>
      <c r="M9" s="3" t="s">
        <v>61</v>
      </c>
      <c r="N9" s="3" t="s">
        <v>62</v>
      </c>
      <c r="O9" s="3">
        <v>3</v>
      </c>
      <c r="P9" s="3">
        <v>842.06100000000004</v>
      </c>
      <c r="Q9" s="3" t="s">
        <v>42</v>
      </c>
      <c r="R9" s="3" t="s">
        <v>46</v>
      </c>
    </row>
    <row r="10" spans="1:18" x14ac:dyDescent="0.25">
      <c r="A10" s="2">
        <v>45581</v>
      </c>
      <c r="B10" s="3" t="s">
        <v>27</v>
      </c>
      <c r="C10" s="2">
        <v>45583</v>
      </c>
      <c r="D10" s="6">
        <v>42.11</v>
      </c>
      <c r="E10" s="3">
        <v>432.04</v>
      </c>
      <c r="F10" s="3" t="s">
        <v>52</v>
      </c>
      <c r="G10" s="3" t="s">
        <v>21</v>
      </c>
      <c r="H10" s="3">
        <v>0.05</v>
      </c>
      <c r="I10" s="3" t="s">
        <v>63</v>
      </c>
      <c r="J10" s="7">
        <v>45581</v>
      </c>
      <c r="K10" s="3" t="s">
        <v>57</v>
      </c>
      <c r="L10" s="3">
        <v>1</v>
      </c>
      <c r="M10" s="3" t="s">
        <v>64</v>
      </c>
      <c r="N10" s="3" t="s">
        <v>65</v>
      </c>
      <c r="O10" s="3">
        <v>3</v>
      </c>
      <c r="P10" s="3">
        <v>1231.3140000000001</v>
      </c>
      <c r="Q10" s="3" t="s">
        <v>42</v>
      </c>
      <c r="R10" s="3" t="s">
        <v>35</v>
      </c>
    </row>
    <row r="11" spans="1:18" x14ac:dyDescent="0.25">
      <c r="A11" s="2">
        <v>45721</v>
      </c>
      <c r="B11" s="3" t="s">
        <v>66</v>
      </c>
      <c r="C11" s="2">
        <v>45729</v>
      </c>
      <c r="D11" s="8">
        <v>41.1</v>
      </c>
      <c r="E11" s="3">
        <v>323.27999999999997</v>
      </c>
      <c r="F11" s="3" t="s">
        <v>52</v>
      </c>
      <c r="G11" s="3" t="s">
        <v>30</v>
      </c>
      <c r="H11" s="3">
        <v>0.1</v>
      </c>
      <c r="I11" s="3" t="s">
        <v>43</v>
      </c>
      <c r="J11" s="9">
        <v>45721</v>
      </c>
      <c r="K11" s="3" t="s">
        <v>32</v>
      </c>
      <c r="L11" s="3">
        <v>0</v>
      </c>
      <c r="M11" s="3" t="s">
        <v>67</v>
      </c>
      <c r="N11" s="3" t="s">
        <v>68</v>
      </c>
      <c r="O11" s="3">
        <v>5</v>
      </c>
      <c r="P11" s="3">
        <v>1454.76</v>
      </c>
      <c r="Q11" s="3" t="s">
        <v>37</v>
      </c>
      <c r="R11" s="3" t="s">
        <v>69</v>
      </c>
    </row>
    <row r="12" spans="1:18" x14ac:dyDescent="0.25">
      <c r="A12" s="2">
        <v>45392</v>
      </c>
      <c r="B12" s="3" t="s">
        <v>36</v>
      </c>
      <c r="C12" s="2">
        <v>45399</v>
      </c>
      <c r="D12" s="6">
        <v>12.14</v>
      </c>
      <c r="E12" s="3">
        <v>523.29</v>
      </c>
      <c r="F12" s="3" t="s">
        <v>20</v>
      </c>
      <c r="G12" s="3" t="s">
        <v>21</v>
      </c>
      <c r="H12" s="3">
        <v>0.15</v>
      </c>
      <c r="I12" s="3" t="s">
        <v>22</v>
      </c>
      <c r="J12" s="7">
        <v>45392</v>
      </c>
      <c r="K12" s="3" t="s">
        <v>57</v>
      </c>
      <c r="L12" s="3">
        <v>0</v>
      </c>
      <c r="M12" s="3" t="s">
        <v>70</v>
      </c>
      <c r="N12" s="3" t="s">
        <v>71</v>
      </c>
      <c r="O12" s="3">
        <v>15</v>
      </c>
      <c r="P12" s="3">
        <v>6671.9474999999993</v>
      </c>
      <c r="Q12" s="3" t="s">
        <v>37</v>
      </c>
      <c r="R12" s="3" t="s">
        <v>40</v>
      </c>
    </row>
    <row r="13" spans="1:18" x14ac:dyDescent="0.25">
      <c r="A13" s="2">
        <v>45485</v>
      </c>
      <c r="B13" s="3" t="s">
        <v>18</v>
      </c>
      <c r="C13" s="2">
        <v>45491</v>
      </c>
      <c r="D13" s="8">
        <v>44.89</v>
      </c>
      <c r="E13" s="3">
        <v>207.35</v>
      </c>
      <c r="F13" s="3" t="s">
        <v>52</v>
      </c>
      <c r="G13" s="3" t="s">
        <v>30</v>
      </c>
      <c r="H13" s="3">
        <v>0.1</v>
      </c>
      <c r="I13" s="3" t="s">
        <v>22</v>
      </c>
      <c r="J13" s="9">
        <v>45485</v>
      </c>
      <c r="K13" s="3" t="s">
        <v>32</v>
      </c>
      <c r="L13" s="3">
        <v>1</v>
      </c>
      <c r="M13" s="3" t="s">
        <v>72</v>
      </c>
      <c r="N13" s="3" t="s">
        <v>73</v>
      </c>
      <c r="O13" s="3">
        <v>19</v>
      </c>
      <c r="P13" s="3">
        <v>3545.6849999999999</v>
      </c>
      <c r="Q13" s="3" t="s">
        <v>28</v>
      </c>
      <c r="R13" s="3" t="s">
        <v>26</v>
      </c>
    </row>
    <row r="14" spans="1:18" x14ac:dyDescent="0.25">
      <c r="A14" s="2">
        <v>45128</v>
      </c>
      <c r="B14" s="3" t="s">
        <v>41</v>
      </c>
      <c r="C14" s="2">
        <v>45138</v>
      </c>
      <c r="D14" s="6">
        <v>20.350000000000001</v>
      </c>
      <c r="E14" s="3">
        <v>120.53</v>
      </c>
      <c r="F14" s="3" t="s">
        <v>20</v>
      </c>
      <c r="G14" s="3" t="s">
        <v>30</v>
      </c>
      <c r="H14" s="3">
        <v>0.05</v>
      </c>
      <c r="I14" s="3" t="s">
        <v>53</v>
      </c>
      <c r="J14" s="7">
        <v>45128</v>
      </c>
      <c r="K14" s="3" t="s">
        <v>60</v>
      </c>
      <c r="L14" s="3">
        <v>0</v>
      </c>
      <c r="M14" s="3" t="s">
        <v>74</v>
      </c>
      <c r="N14" s="3" t="s">
        <v>75</v>
      </c>
      <c r="O14" s="3">
        <v>1</v>
      </c>
      <c r="P14" s="3">
        <v>114.5035</v>
      </c>
      <c r="Q14" s="3" t="s">
        <v>28</v>
      </c>
      <c r="R14" s="3" t="s">
        <v>46</v>
      </c>
    </row>
    <row r="15" spans="1:18" x14ac:dyDescent="0.25">
      <c r="A15" s="2">
        <v>45675</v>
      </c>
      <c r="B15" s="3" t="s">
        <v>66</v>
      </c>
      <c r="C15" s="2">
        <v>45679</v>
      </c>
      <c r="D15" s="8">
        <v>42.82</v>
      </c>
      <c r="E15" s="3">
        <v>157.83000000000001</v>
      </c>
      <c r="F15" s="3" t="s">
        <v>29</v>
      </c>
      <c r="G15" s="3" t="s">
        <v>21</v>
      </c>
      <c r="H15" s="3">
        <v>0.15</v>
      </c>
      <c r="I15" s="3" t="s">
        <v>48</v>
      </c>
      <c r="J15" s="9">
        <v>45675</v>
      </c>
      <c r="K15" s="3" t="s">
        <v>57</v>
      </c>
      <c r="L15" s="3">
        <v>0</v>
      </c>
      <c r="M15" s="3" t="s">
        <v>77</v>
      </c>
      <c r="N15" s="3" t="s">
        <v>78</v>
      </c>
      <c r="O15" s="3">
        <v>1</v>
      </c>
      <c r="P15" s="3">
        <v>134.15549999999999</v>
      </c>
      <c r="Q15" s="3" t="s">
        <v>76</v>
      </c>
      <c r="R15" s="3" t="s">
        <v>69</v>
      </c>
    </row>
    <row r="16" spans="1:18" x14ac:dyDescent="0.25">
      <c r="A16" s="2">
        <v>45634</v>
      </c>
      <c r="B16" s="3" t="s">
        <v>36</v>
      </c>
      <c r="C16" s="2">
        <v>45641</v>
      </c>
      <c r="D16" s="6">
        <v>39.659999999999997</v>
      </c>
      <c r="E16" s="3">
        <v>220.3</v>
      </c>
      <c r="F16" s="3" t="s">
        <v>20</v>
      </c>
      <c r="G16" s="3" t="s">
        <v>30</v>
      </c>
      <c r="H16" s="3">
        <v>0.15</v>
      </c>
      <c r="I16" s="3" t="s">
        <v>53</v>
      </c>
      <c r="J16" s="7">
        <v>45634</v>
      </c>
      <c r="K16" s="3" t="s">
        <v>57</v>
      </c>
      <c r="L16" s="3">
        <v>0</v>
      </c>
      <c r="M16" s="3" t="s">
        <v>79</v>
      </c>
      <c r="N16" s="3" t="s">
        <v>80</v>
      </c>
      <c r="O16" s="3">
        <v>15</v>
      </c>
      <c r="P16" s="3">
        <v>2808.8249999999998</v>
      </c>
      <c r="Q16" s="3" t="s">
        <v>37</v>
      </c>
      <c r="R16" s="3" t="s">
        <v>40</v>
      </c>
    </row>
    <row r="17" spans="1:18" x14ac:dyDescent="0.25">
      <c r="A17" s="2">
        <v>45788</v>
      </c>
      <c r="B17" s="3" t="s">
        <v>66</v>
      </c>
      <c r="C17" s="2">
        <v>45794</v>
      </c>
      <c r="D17" s="8">
        <v>8.11</v>
      </c>
      <c r="E17" s="3">
        <v>162.96</v>
      </c>
      <c r="F17" s="3" t="s">
        <v>29</v>
      </c>
      <c r="G17" s="3" t="s">
        <v>21</v>
      </c>
      <c r="H17" s="3">
        <v>0.05</v>
      </c>
      <c r="I17" s="3" t="s">
        <v>22</v>
      </c>
      <c r="J17" s="9">
        <v>45788</v>
      </c>
      <c r="K17" s="3" t="s">
        <v>32</v>
      </c>
      <c r="L17" s="3">
        <v>0</v>
      </c>
      <c r="M17" s="3" t="s">
        <v>81</v>
      </c>
      <c r="N17" s="3" t="s">
        <v>82</v>
      </c>
      <c r="O17" s="3">
        <v>17</v>
      </c>
      <c r="P17" s="3">
        <v>2631.8040000000001</v>
      </c>
      <c r="Q17" s="3" t="s">
        <v>42</v>
      </c>
      <c r="R17" s="3" t="s">
        <v>69</v>
      </c>
    </row>
    <row r="18" spans="1:18" x14ac:dyDescent="0.25">
      <c r="A18" s="2">
        <v>44983</v>
      </c>
      <c r="B18" s="3" t="s">
        <v>66</v>
      </c>
      <c r="C18" s="2">
        <v>44989</v>
      </c>
      <c r="D18" s="6">
        <v>34.11</v>
      </c>
      <c r="E18" s="3">
        <v>236.11</v>
      </c>
      <c r="F18" s="3" t="s">
        <v>52</v>
      </c>
      <c r="G18" s="3" t="s">
        <v>21</v>
      </c>
      <c r="H18" s="3">
        <v>0</v>
      </c>
      <c r="I18" s="3" t="s">
        <v>63</v>
      </c>
      <c r="J18" s="7">
        <v>44983</v>
      </c>
      <c r="K18" s="3" t="s">
        <v>23</v>
      </c>
      <c r="L18" s="3">
        <v>0</v>
      </c>
      <c r="M18" s="3" t="s">
        <v>83</v>
      </c>
      <c r="N18" s="3" t="s">
        <v>84</v>
      </c>
      <c r="O18" s="3">
        <v>19</v>
      </c>
      <c r="P18" s="3">
        <v>4486.09</v>
      </c>
      <c r="Q18" s="3" t="s">
        <v>19</v>
      </c>
      <c r="R18" s="3" t="s">
        <v>69</v>
      </c>
    </row>
    <row r="19" spans="1:18" x14ac:dyDescent="0.25">
      <c r="A19" s="2">
        <v>45440</v>
      </c>
      <c r="B19" s="3" t="s">
        <v>41</v>
      </c>
      <c r="C19" s="2">
        <v>45444</v>
      </c>
      <c r="D19" s="8">
        <v>34.71</v>
      </c>
      <c r="E19" s="3">
        <v>573.14</v>
      </c>
      <c r="F19" s="3" t="s">
        <v>52</v>
      </c>
      <c r="G19" s="3" t="s">
        <v>30</v>
      </c>
      <c r="H19" s="3">
        <v>0.05</v>
      </c>
      <c r="I19" s="3" t="s">
        <v>53</v>
      </c>
      <c r="J19" s="9">
        <v>45440</v>
      </c>
      <c r="K19" s="3" t="s">
        <v>60</v>
      </c>
      <c r="L19" s="3">
        <v>0</v>
      </c>
      <c r="M19" s="3" t="s">
        <v>85</v>
      </c>
      <c r="N19" s="3" t="s">
        <v>86</v>
      </c>
      <c r="O19" s="3">
        <v>11</v>
      </c>
      <c r="P19" s="3">
        <v>5989.3130000000001</v>
      </c>
      <c r="Q19" s="3" t="s">
        <v>37</v>
      </c>
      <c r="R19" s="3" t="s">
        <v>46</v>
      </c>
    </row>
    <row r="20" spans="1:18" x14ac:dyDescent="0.25">
      <c r="A20" s="2">
        <v>45260</v>
      </c>
      <c r="B20" s="3" t="s">
        <v>18</v>
      </c>
      <c r="C20" s="2">
        <v>45268</v>
      </c>
      <c r="D20" s="6">
        <v>19.43</v>
      </c>
      <c r="E20" s="3">
        <v>519.04</v>
      </c>
      <c r="F20" s="3" t="s">
        <v>20</v>
      </c>
      <c r="G20" s="3" t="s">
        <v>30</v>
      </c>
      <c r="H20" s="3">
        <v>0.15</v>
      </c>
      <c r="I20" s="3" t="s">
        <v>48</v>
      </c>
      <c r="J20" s="7">
        <v>45260</v>
      </c>
      <c r="K20" s="3" t="s">
        <v>32</v>
      </c>
      <c r="L20" s="3">
        <v>0</v>
      </c>
      <c r="M20" s="3" t="s">
        <v>87</v>
      </c>
      <c r="N20" s="3" t="s">
        <v>88</v>
      </c>
      <c r="O20" s="3">
        <v>20</v>
      </c>
      <c r="P20" s="3">
        <v>8823.6799999999985</v>
      </c>
      <c r="Q20" s="3" t="s">
        <v>28</v>
      </c>
      <c r="R20" s="3" t="s">
        <v>26</v>
      </c>
    </row>
    <row r="21" spans="1:18" x14ac:dyDescent="0.25">
      <c r="A21" s="2">
        <v>45099</v>
      </c>
      <c r="B21" s="3" t="s">
        <v>66</v>
      </c>
      <c r="C21" s="2">
        <v>45109</v>
      </c>
      <c r="D21" s="8">
        <v>7.1</v>
      </c>
      <c r="E21" s="3">
        <v>30.83</v>
      </c>
      <c r="F21" s="3" t="s">
        <v>20</v>
      </c>
      <c r="G21" s="3" t="s">
        <v>30</v>
      </c>
      <c r="H21" s="3">
        <v>0</v>
      </c>
      <c r="I21" s="3" t="s">
        <v>48</v>
      </c>
      <c r="J21" s="9">
        <v>45099</v>
      </c>
      <c r="K21" s="3" t="s">
        <v>23</v>
      </c>
      <c r="L21" s="3">
        <v>1</v>
      </c>
      <c r="M21" s="3" t="s">
        <v>89</v>
      </c>
      <c r="N21" s="3" t="s">
        <v>90</v>
      </c>
      <c r="O21" s="3">
        <v>14</v>
      </c>
      <c r="P21" s="3">
        <v>431.62</v>
      </c>
      <c r="Q21" s="3" t="s">
        <v>37</v>
      </c>
      <c r="R21" s="3" t="s">
        <v>69</v>
      </c>
    </row>
    <row r="22" spans="1:18" x14ac:dyDescent="0.25">
      <c r="A22" s="2">
        <v>45813</v>
      </c>
      <c r="B22" s="3" t="s">
        <v>66</v>
      </c>
      <c r="C22" s="2">
        <v>45816</v>
      </c>
      <c r="D22" s="6">
        <v>28.43</v>
      </c>
      <c r="E22" s="3">
        <v>319.05</v>
      </c>
      <c r="F22" s="3" t="s">
        <v>52</v>
      </c>
      <c r="G22" s="3" t="s">
        <v>21</v>
      </c>
      <c r="H22" s="3">
        <v>0</v>
      </c>
      <c r="I22" s="3" t="s">
        <v>53</v>
      </c>
      <c r="J22" s="7">
        <v>45813</v>
      </c>
      <c r="K22" s="3" t="s">
        <v>23</v>
      </c>
      <c r="L22" s="3">
        <v>0</v>
      </c>
      <c r="M22" s="3" t="s">
        <v>91</v>
      </c>
      <c r="N22" s="3" t="s">
        <v>92</v>
      </c>
      <c r="O22" s="3">
        <v>10</v>
      </c>
      <c r="P22" s="3">
        <v>3190.5</v>
      </c>
      <c r="Q22" s="3" t="s">
        <v>28</v>
      </c>
      <c r="R22" s="3" t="s">
        <v>69</v>
      </c>
    </row>
    <row r="23" spans="1:18" x14ac:dyDescent="0.25">
      <c r="A23" s="2">
        <v>44988</v>
      </c>
      <c r="B23" s="3" t="s">
        <v>41</v>
      </c>
      <c r="C23" s="2">
        <v>44993</v>
      </c>
      <c r="D23" s="8">
        <v>46.83</v>
      </c>
      <c r="E23" s="3">
        <v>312.79000000000002</v>
      </c>
      <c r="F23" s="3" t="s">
        <v>29</v>
      </c>
      <c r="G23" s="3" t="s">
        <v>30</v>
      </c>
      <c r="H23" s="3">
        <v>0.05</v>
      </c>
      <c r="I23" s="3" t="s">
        <v>63</v>
      </c>
      <c r="J23" s="9">
        <v>44988</v>
      </c>
      <c r="K23" s="3" t="s">
        <v>23</v>
      </c>
      <c r="L23" s="3">
        <v>1</v>
      </c>
      <c r="M23" s="3" t="s">
        <v>93</v>
      </c>
      <c r="N23" s="3" t="s">
        <v>94</v>
      </c>
      <c r="O23" s="3">
        <v>14</v>
      </c>
      <c r="P23" s="3">
        <v>4160.107</v>
      </c>
      <c r="Q23" s="3" t="s">
        <v>42</v>
      </c>
      <c r="R23" s="3" t="s">
        <v>46</v>
      </c>
    </row>
    <row r="24" spans="1:18" x14ac:dyDescent="0.25">
      <c r="A24" s="2">
        <v>45340</v>
      </c>
      <c r="B24" s="3" t="s">
        <v>36</v>
      </c>
      <c r="C24" s="2">
        <v>45344</v>
      </c>
      <c r="D24" s="6">
        <v>36.450000000000003</v>
      </c>
      <c r="E24" s="3">
        <v>395.45</v>
      </c>
      <c r="F24" s="3" t="s">
        <v>47</v>
      </c>
      <c r="G24" s="3" t="s">
        <v>30</v>
      </c>
      <c r="H24" s="3">
        <v>0</v>
      </c>
      <c r="I24" s="3" t="s">
        <v>48</v>
      </c>
      <c r="J24" s="7">
        <v>45340</v>
      </c>
      <c r="K24" s="3" t="s">
        <v>60</v>
      </c>
      <c r="L24" s="3">
        <v>1</v>
      </c>
      <c r="M24" s="3" t="s">
        <v>95</v>
      </c>
      <c r="N24" s="3" t="s">
        <v>96</v>
      </c>
      <c r="O24" s="3">
        <v>14</v>
      </c>
      <c r="P24" s="3">
        <v>5536.3</v>
      </c>
      <c r="Q24" s="3" t="s">
        <v>19</v>
      </c>
      <c r="R24" s="3" t="s">
        <v>40</v>
      </c>
    </row>
    <row r="25" spans="1:18" x14ac:dyDescent="0.25">
      <c r="A25" s="2">
        <v>45144</v>
      </c>
      <c r="B25" s="3" t="s">
        <v>41</v>
      </c>
      <c r="C25" s="2">
        <v>45152</v>
      </c>
      <c r="D25" s="8">
        <v>27.97</v>
      </c>
      <c r="E25" s="3">
        <v>472.72</v>
      </c>
      <c r="F25" s="3" t="s">
        <v>52</v>
      </c>
      <c r="G25" s="3" t="s">
        <v>30</v>
      </c>
      <c r="H25" s="3">
        <v>0.15</v>
      </c>
      <c r="I25" s="3" t="s">
        <v>53</v>
      </c>
      <c r="J25" s="9">
        <v>45144</v>
      </c>
      <c r="K25" s="3" t="s">
        <v>54</v>
      </c>
      <c r="L25" s="3">
        <v>0</v>
      </c>
      <c r="M25" s="3" t="s">
        <v>97</v>
      </c>
      <c r="N25" s="3" t="s">
        <v>98</v>
      </c>
      <c r="O25" s="3">
        <v>12</v>
      </c>
      <c r="P25" s="3">
        <v>4821.7440000000006</v>
      </c>
      <c r="Q25" s="3" t="s">
        <v>19</v>
      </c>
      <c r="R25" s="3" t="s">
        <v>46</v>
      </c>
    </row>
    <row r="26" spans="1:18" x14ac:dyDescent="0.25">
      <c r="A26" s="2">
        <v>45435</v>
      </c>
      <c r="B26" s="3" t="s">
        <v>36</v>
      </c>
      <c r="C26" s="2">
        <v>45442</v>
      </c>
      <c r="D26" s="6">
        <v>46.69</v>
      </c>
      <c r="E26" s="3">
        <v>288.01</v>
      </c>
      <c r="F26" s="3" t="s">
        <v>29</v>
      </c>
      <c r="G26" s="3" t="s">
        <v>21</v>
      </c>
      <c r="H26" s="3">
        <v>0</v>
      </c>
      <c r="I26" s="3" t="s">
        <v>22</v>
      </c>
      <c r="J26" s="7">
        <v>45435</v>
      </c>
      <c r="K26" s="3" t="s">
        <v>54</v>
      </c>
      <c r="L26" s="3">
        <v>0</v>
      </c>
      <c r="M26" s="3" t="s">
        <v>99</v>
      </c>
      <c r="N26" s="3" t="s">
        <v>100</v>
      </c>
      <c r="O26" s="3">
        <v>5</v>
      </c>
      <c r="P26" s="3">
        <v>1440.05</v>
      </c>
      <c r="Q26" s="3" t="s">
        <v>37</v>
      </c>
      <c r="R26" s="3" t="s">
        <v>40</v>
      </c>
    </row>
    <row r="27" spans="1:18" x14ac:dyDescent="0.25">
      <c r="A27" s="2">
        <v>45222</v>
      </c>
      <c r="B27" s="3" t="s">
        <v>18</v>
      </c>
      <c r="C27" s="2">
        <v>45227</v>
      </c>
      <c r="D27" s="8">
        <v>38.130000000000003</v>
      </c>
      <c r="E27" s="3">
        <v>562.29</v>
      </c>
      <c r="F27" s="3" t="s">
        <v>52</v>
      </c>
      <c r="G27" s="3" t="s">
        <v>30</v>
      </c>
      <c r="H27" s="3">
        <v>0</v>
      </c>
      <c r="I27" s="3" t="s">
        <v>53</v>
      </c>
      <c r="J27" s="9">
        <v>45222</v>
      </c>
      <c r="K27" s="3" t="s">
        <v>32</v>
      </c>
      <c r="L27" s="3">
        <v>0</v>
      </c>
      <c r="M27" s="3" t="s">
        <v>101</v>
      </c>
      <c r="N27" s="3" t="s">
        <v>102</v>
      </c>
      <c r="O27" s="3">
        <v>13</v>
      </c>
      <c r="P27" s="3">
        <v>7309.77</v>
      </c>
      <c r="Q27" s="3" t="s">
        <v>28</v>
      </c>
      <c r="R27" s="3" t="s">
        <v>26</v>
      </c>
    </row>
    <row r="28" spans="1:18" x14ac:dyDescent="0.25">
      <c r="A28" s="2">
        <v>45824</v>
      </c>
      <c r="B28" s="3" t="s">
        <v>66</v>
      </c>
      <c r="C28" s="2">
        <v>45833</v>
      </c>
      <c r="D28" s="6">
        <v>11.59</v>
      </c>
      <c r="E28" s="3">
        <v>101.73</v>
      </c>
      <c r="F28" s="3" t="s">
        <v>52</v>
      </c>
      <c r="G28" s="3" t="s">
        <v>30</v>
      </c>
      <c r="H28" s="3">
        <v>0</v>
      </c>
      <c r="I28" s="3" t="s">
        <v>43</v>
      </c>
      <c r="J28" s="7">
        <v>45824</v>
      </c>
      <c r="K28" s="3" t="s">
        <v>57</v>
      </c>
      <c r="L28" s="3">
        <v>0</v>
      </c>
      <c r="M28" s="3" t="s">
        <v>103</v>
      </c>
      <c r="N28" s="3" t="s">
        <v>104</v>
      </c>
      <c r="O28" s="3">
        <v>1</v>
      </c>
      <c r="P28" s="3">
        <v>101.73</v>
      </c>
      <c r="Q28" s="3" t="s">
        <v>28</v>
      </c>
      <c r="R28" s="3" t="s">
        <v>69</v>
      </c>
    </row>
    <row r="29" spans="1:18" x14ac:dyDescent="0.25">
      <c r="A29" s="2">
        <v>44988</v>
      </c>
      <c r="B29" s="3" t="s">
        <v>36</v>
      </c>
      <c r="C29" s="2">
        <v>44993</v>
      </c>
      <c r="D29" s="8">
        <v>24.78</v>
      </c>
      <c r="E29" s="3">
        <v>279.49</v>
      </c>
      <c r="F29" s="3" t="s">
        <v>20</v>
      </c>
      <c r="G29" s="3" t="s">
        <v>30</v>
      </c>
      <c r="H29" s="3">
        <v>0</v>
      </c>
      <c r="I29" s="3" t="s">
        <v>53</v>
      </c>
      <c r="J29" s="9">
        <v>44988</v>
      </c>
      <c r="K29" s="3" t="s">
        <v>54</v>
      </c>
      <c r="L29" s="3">
        <v>0</v>
      </c>
      <c r="M29" s="3" t="s">
        <v>105</v>
      </c>
      <c r="N29" s="3" t="s">
        <v>106</v>
      </c>
      <c r="O29" s="3">
        <v>4</v>
      </c>
      <c r="P29" s="3">
        <v>1117.96</v>
      </c>
      <c r="Q29" s="3" t="s">
        <v>28</v>
      </c>
      <c r="R29" s="3" t="s">
        <v>40</v>
      </c>
    </row>
    <row r="30" spans="1:18" x14ac:dyDescent="0.25">
      <c r="A30" s="2">
        <v>45614</v>
      </c>
      <c r="B30" s="3" t="s">
        <v>27</v>
      </c>
      <c r="C30" s="2">
        <v>45617</v>
      </c>
      <c r="D30" s="6">
        <v>7.61</v>
      </c>
      <c r="E30" s="3">
        <v>178.55</v>
      </c>
      <c r="F30" s="3" t="s">
        <v>29</v>
      </c>
      <c r="G30" s="3" t="s">
        <v>30</v>
      </c>
      <c r="H30" s="3">
        <v>0.15</v>
      </c>
      <c r="I30" s="3" t="s">
        <v>48</v>
      </c>
      <c r="J30" s="7">
        <v>45614</v>
      </c>
      <c r="K30" s="3" t="s">
        <v>57</v>
      </c>
      <c r="L30" s="3">
        <v>1</v>
      </c>
      <c r="M30" s="3" t="s">
        <v>107</v>
      </c>
      <c r="N30" s="3" t="s">
        <v>108</v>
      </c>
      <c r="O30" s="3">
        <v>1</v>
      </c>
      <c r="P30" s="3">
        <v>151.76750000000001</v>
      </c>
      <c r="Q30" s="3" t="s">
        <v>19</v>
      </c>
      <c r="R30" s="3" t="s">
        <v>35</v>
      </c>
    </row>
    <row r="31" spans="1:18" x14ac:dyDescent="0.25">
      <c r="A31" s="2">
        <v>45055</v>
      </c>
      <c r="B31" s="3" t="s">
        <v>41</v>
      </c>
      <c r="C31" s="2">
        <v>45063</v>
      </c>
      <c r="D31" s="8">
        <v>33.17</v>
      </c>
      <c r="E31" s="3">
        <v>472.07</v>
      </c>
      <c r="F31" s="3" t="s">
        <v>29</v>
      </c>
      <c r="G31" s="3" t="s">
        <v>21</v>
      </c>
      <c r="H31" s="3">
        <v>0.1</v>
      </c>
      <c r="I31" s="3" t="s">
        <v>48</v>
      </c>
      <c r="J31" s="9">
        <v>45055</v>
      </c>
      <c r="K31" s="3" t="s">
        <v>23</v>
      </c>
      <c r="L31" s="3">
        <v>0</v>
      </c>
      <c r="M31" s="3" t="s">
        <v>109</v>
      </c>
      <c r="N31" s="3" t="s">
        <v>110</v>
      </c>
      <c r="O31" s="3">
        <v>1</v>
      </c>
      <c r="P31" s="3">
        <v>424.863</v>
      </c>
      <c r="Q31" s="3" t="s">
        <v>76</v>
      </c>
      <c r="R31" s="3" t="s">
        <v>46</v>
      </c>
    </row>
    <row r="32" spans="1:18" x14ac:dyDescent="0.25">
      <c r="A32" s="2">
        <v>45633</v>
      </c>
      <c r="B32" s="3" t="s">
        <v>36</v>
      </c>
      <c r="C32" s="2">
        <v>45640</v>
      </c>
      <c r="D32" s="6">
        <v>37.380000000000003</v>
      </c>
      <c r="E32" s="3">
        <v>306.29000000000002</v>
      </c>
      <c r="F32" s="3" t="s">
        <v>52</v>
      </c>
      <c r="G32" s="3" t="s">
        <v>30</v>
      </c>
      <c r="H32" s="3">
        <v>0</v>
      </c>
      <c r="I32" s="3" t="s">
        <v>43</v>
      </c>
      <c r="J32" s="7">
        <v>45633</v>
      </c>
      <c r="K32" s="3" t="s">
        <v>57</v>
      </c>
      <c r="L32" s="3">
        <v>0</v>
      </c>
      <c r="M32" s="3" t="s">
        <v>111</v>
      </c>
      <c r="N32" s="3" t="s">
        <v>112</v>
      </c>
      <c r="O32" s="3">
        <v>12</v>
      </c>
      <c r="P32" s="3">
        <v>3675.48</v>
      </c>
      <c r="Q32" s="3" t="s">
        <v>76</v>
      </c>
      <c r="R32" s="3" t="s">
        <v>40</v>
      </c>
    </row>
    <row r="33" spans="1:18" x14ac:dyDescent="0.25">
      <c r="A33" s="2">
        <v>45335</v>
      </c>
      <c r="B33" s="3" t="s">
        <v>36</v>
      </c>
      <c r="C33" s="2">
        <v>45337</v>
      </c>
      <c r="D33" s="8">
        <v>12.35</v>
      </c>
      <c r="E33" s="3">
        <v>434.77</v>
      </c>
      <c r="F33" s="3" t="s">
        <v>47</v>
      </c>
      <c r="G33" s="3" t="s">
        <v>30</v>
      </c>
      <c r="H33" s="3">
        <v>0.15</v>
      </c>
      <c r="I33" s="3" t="s">
        <v>43</v>
      </c>
      <c r="J33" s="9">
        <v>45335</v>
      </c>
      <c r="K33" s="3" t="s">
        <v>23</v>
      </c>
      <c r="L33" s="3">
        <v>0</v>
      </c>
      <c r="M33" s="3" t="s">
        <v>113</v>
      </c>
      <c r="N33" s="3" t="s">
        <v>114</v>
      </c>
      <c r="O33" s="3">
        <v>7</v>
      </c>
      <c r="P33" s="3">
        <v>2586.8815</v>
      </c>
      <c r="Q33" s="3" t="s">
        <v>28</v>
      </c>
      <c r="R33" s="3" t="s">
        <v>40</v>
      </c>
    </row>
    <row r="34" spans="1:18" x14ac:dyDescent="0.25">
      <c r="A34" s="2">
        <v>45725</v>
      </c>
      <c r="B34" s="3" t="s">
        <v>27</v>
      </c>
      <c r="C34" s="2">
        <v>45731</v>
      </c>
      <c r="D34" s="6">
        <v>21.25</v>
      </c>
      <c r="E34" s="3">
        <v>64.98</v>
      </c>
      <c r="F34" s="3" t="s">
        <v>47</v>
      </c>
      <c r="G34" s="3" t="s">
        <v>30</v>
      </c>
      <c r="H34" s="3">
        <v>0</v>
      </c>
      <c r="I34" s="3" t="s">
        <v>48</v>
      </c>
      <c r="J34" s="7">
        <v>45725</v>
      </c>
      <c r="K34" s="3" t="s">
        <v>57</v>
      </c>
      <c r="L34" s="3">
        <v>0</v>
      </c>
      <c r="M34" s="3" t="s">
        <v>115</v>
      </c>
      <c r="N34" s="3" t="s">
        <v>116</v>
      </c>
      <c r="O34" s="3">
        <v>6</v>
      </c>
      <c r="P34" s="3">
        <v>389.88</v>
      </c>
      <c r="Q34" s="3" t="s">
        <v>37</v>
      </c>
      <c r="R34" s="3" t="s">
        <v>35</v>
      </c>
    </row>
    <row r="35" spans="1:18" x14ac:dyDescent="0.25">
      <c r="A35" s="2">
        <v>45021</v>
      </c>
      <c r="B35" s="3" t="s">
        <v>41</v>
      </c>
      <c r="C35" s="2">
        <v>45027</v>
      </c>
      <c r="D35" s="8">
        <v>17.91</v>
      </c>
      <c r="E35" s="3">
        <v>476.49</v>
      </c>
      <c r="F35" s="3" t="s">
        <v>52</v>
      </c>
      <c r="G35" s="3" t="s">
        <v>30</v>
      </c>
      <c r="H35" s="3">
        <v>0</v>
      </c>
      <c r="I35" s="3" t="s">
        <v>31</v>
      </c>
      <c r="J35" s="9">
        <v>45021</v>
      </c>
      <c r="K35" s="3" t="s">
        <v>32</v>
      </c>
      <c r="L35" s="3">
        <v>0</v>
      </c>
      <c r="M35" s="3" t="s">
        <v>117</v>
      </c>
      <c r="N35" s="3" t="s">
        <v>118</v>
      </c>
      <c r="O35" s="3">
        <v>17</v>
      </c>
      <c r="P35" s="3">
        <v>8100.33</v>
      </c>
      <c r="Q35" s="3" t="s">
        <v>37</v>
      </c>
      <c r="R35" s="3" t="s">
        <v>46</v>
      </c>
    </row>
    <row r="36" spans="1:18" x14ac:dyDescent="0.25">
      <c r="A36" s="2">
        <v>45785</v>
      </c>
      <c r="B36" s="3" t="s">
        <v>36</v>
      </c>
      <c r="C36" s="2">
        <v>45789</v>
      </c>
      <c r="D36" s="6">
        <v>41.91</v>
      </c>
      <c r="E36" s="3">
        <v>559.72</v>
      </c>
      <c r="F36" s="3" t="s">
        <v>52</v>
      </c>
      <c r="G36" s="3" t="s">
        <v>30</v>
      </c>
      <c r="H36" s="3">
        <v>0.15</v>
      </c>
      <c r="I36" s="3" t="s">
        <v>53</v>
      </c>
      <c r="J36" s="7">
        <v>45785</v>
      </c>
      <c r="K36" s="3" t="s">
        <v>23</v>
      </c>
      <c r="L36" s="3">
        <v>0</v>
      </c>
      <c r="M36" s="3" t="s">
        <v>119</v>
      </c>
      <c r="N36" s="3" t="s">
        <v>120</v>
      </c>
      <c r="O36" s="3">
        <v>4</v>
      </c>
      <c r="P36" s="3">
        <v>1903.048</v>
      </c>
      <c r="Q36" s="3" t="s">
        <v>51</v>
      </c>
      <c r="R36" s="3" t="s">
        <v>40</v>
      </c>
    </row>
    <row r="37" spans="1:18" x14ac:dyDescent="0.25">
      <c r="A37" s="2">
        <v>45172</v>
      </c>
      <c r="B37" s="3" t="s">
        <v>36</v>
      </c>
      <c r="C37" s="2">
        <v>45180</v>
      </c>
      <c r="D37" s="8">
        <v>12.57</v>
      </c>
      <c r="E37" s="3">
        <v>82.14</v>
      </c>
      <c r="F37" s="3" t="s">
        <v>47</v>
      </c>
      <c r="G37" s="3" t="s">
        <v>30</v>
      </c>
      <c r="H37" s="3">
        <v>0</v>
      </c>
      <c r="I37" s="3" t="s">
        <v>31</v>
      </c>
      <c r="J37" s="9">
        <v>45172</v>
      </c>
      <c r="K37" s="3" t="s">
        <v>54</v>
      </c>
      <c r="L37" s="3">
        <v>0</v>
      </c>
      <c r="M37" s="3" t="s">
        <v>121</v>
      </c>
      <c r="N37" s="3" t="s">
        <v>122</v>
      </c>
      <c r="O37" s="3">
        <v>14</v>
      </c>
      <c r="P37" s="3">
        <v>1149.96</v>
      </c>
      <c r="Q37" s="3" t="s">
        <v>76</v>
      </c>
      <c r="R37" s="3" t="s">
        <v>40</v>
      </c>
    </row>
    <row r="38" spans="1:18" x14ac:dyDescent="0.25">
      <c r="A38" s="2">
        <v>45737</v>
      </c>
      <c r="B38" s="3" t="s">
        <v>41</v>
      </c>
      <c r="C38" s="2">
        <v>45744</v>
      </c>
      <c r="D38" s="6">
        <v>40.29</v>
      </c>
      <c r="E38" s="3">
        <v>343.21</v>
      </c>
      <c r="F38" s="3" t="s">
        <v>29</v>
      </c>
      <c r="G38" s="3" t="s">
        <v>30</v>
      </c>
      <c r="H38" s="3">
        <v>0.05</v>
      </c>
      <c r="I38" s="3" t="s">
        <v>48</v>
      </c>
      <c r="J38" s="7">
        <v>45737</v>
      </c>
      <c r="K38" s="3" t="s">
        <v>57</v>
      </c>
      <c r="L38" s="3">
        <v>0</v>
      </c>
      <c r="M38" s="3" t="s">
        <v>123</v>
      </c>
      <c r="N38" s="3" t="s">
        <v>124</v>
      </c>
      <c r="O38" s="3">
        <v>9</v>
      </c>
      <c r="P38" s="3">
        <v>2934.4454999999998</v>
      </c>
      <c r="Q38" s="3" t="s">
        <v>42</v>
      </c>
      <c r="R38" s="3" t="s">
        <v>46</v>
      </c>
    </row>
    <row r="39" spans="1:18" x14ac:dyDescent="0.25">
      <c r="A39" s="2">
        <v>45828</v>
      </c>
      <c r="B39" s="3" t="s">
        <v>27</v>
      </c>
      <c r="C39" s="2">
        <v>45838</v>
      </c>
      <c r="D39" s="8">
        <v>34.97</v>
      </c>
      <c r="E39" s="3">
        <v>301.01</v>
      </c>
      <c r="F39" s="3" t="s">
        <v>20</v>
      </c>
      <c r="G39" s="3" t="s">
        <v>30</v>
      </c>
      <c r="H39" s="3">
        <v>0.15</v>
      </c>
      <c r="I39" s="3" t="s">
        <v>53</v>
      </c>
      <c r="J39" s="9">
        <v>45828</v>
      </c>
      <c r="K39" s="3" t="s">
        <v>60</v>
      </c>
      <c r="L39" s="3">
        <v>1</v>
      </c>
      <c r="M39" s="3" t="s">
        <v>125</v>
      </c>
      <c r="N39" s="3" t="s">
        <v>126</v>
      </c>
      <c r="O39" s="3">
        <v>7</v>
      </c>
      <c r="P39" s="3">
        <v>1791.0094999999999</v>
      </c>
      <c r="Q39" s="3" t="s">
        <v>42</v>
      </c>
      <c r="R39" s="3" t="s">
        <v>35</v>
      </c>
    </row>
    <row r="40" spans="1:18" x14ac:dyDescent="0.25">
      <c r="A40" s="2">
        <v>45337</v>
      </c>
      <c r="B40" s="3" t="s">
        <v>41</v>
      </c>
      <c r="C40" s="2">
        <v>45347</v>
      </c>
      <c r="D40" s="6">
        <v>24.77</v>
      </c>
      <c r="E40" s="3">
        <v>428.13</v>
      </c>
      <c r="F40" s="3" t="s">
        <v>47</v>
      </c>
      <c r="G40" s="3" t="s">
        <v>30</v>
      </c>
      <c r="H40" s="3">
        <v>0.1</v>
      </c>
      <c r="I40" s="3" t="s">
        <v>63</v>
      </c>
      <c r="J40" s="7">
        <v>45337</v>
      </c>
      <c r="K40" s="3" t="s">
        <v>60</v>
      </c>
      <c r="L40" s="3">
        <v>1</v>
      </c>
      <c r="M40" s="3" t="s">
        <v>128</v>
      </c>
      <c r="N40" s="3" t="s">
        <v>129</v>
      </c>
      <c r="O40" s="3">
        <v>14</v>
      </c>
      <c r="P40" s="3">
        <v>5394.4380000000001</v>
      </c>
      <c r="Q40" s="3" t="s">
        <v>127</v>
      </c>
      <c r="R40" s="3" t="s">
        <v>46</v>
      </c>
    </row>
    <row r="41" spans="1:18" x14ac:dyDescent="0.25">
      <c r="A41" s="2">
        <v>45086</v>
      </c>
      <c r="B41" s="3" t="s">
        <v>41</v>
      </c>
      <c r="C41" s="2">
        <v>45094</v>
      </c>
      <c r="D41" s="8">
        <v>34.79</v>
      </c>
      <c r="E41" s="3">
        <v>503.28</v>
      </c>
      <c r="F41" s="3" t="s">
        <v>52</v>
      </c>
      <c r="G41" s="3" t="s">
        <v>30</v>
      </c>
      <c r="H41" s="3">
        <v>0.15</v>
      </c>
      <c r="I41" s="3" t="s">
        <v>31</v>
      </c>
      <c r="J41" s="9">
        <v>45086</v>
      </c>
      <c r="K41" s="3" t="s">
        <v>32</v>
      </c>
      <c r="L41" s="3">
        <v>0</v>
      </c>
      <c r="M41" s="3" t="s">
        <v>130</v>
      </c>
      <c r="N41" s="3" t="s">
        <v>131</v>
      </c>
      <c r="O41" s="3">
        <v>2</v>
      </c>
      <c r="P41" s="3">
        <v>855.57599999999991</v>
      </c>
      <c r="Q41" s="3" t="s">
        <v>19</v>
      </c>
      <c r="R41" s="3" t="s">
        <v>46</v>
      </c>
    </row>
    <row r="42" spans="1:18" x14ac:dyDescent="0.25">
      <c r="A42" s="2">
        <v>45148</v>
      </c>
      <c r="B42" s="3" t="s">
        <v>27</v>
      </c>
      <c r="C42" s="2">
        <v>45152</v>
      </c>
      <c r="D42" s="6">
        <v>17.77</v>
      </c>
      <c r="E42" s="3">
        <v>470.32</v>
      </c>
      <c r="F42" s="3" t="s">
        <v>29</v>
      </c>
      <c r="G42" s="3" t="s">
        <v>30</v>
      </c>
      <c r="H42" s="3">
        <v>0.1</v>
      </c>
      <c r="I42" s="3" t="s">
        <v>22</v>
      </c>
      <c r="J42" s="7">
        <v>45148</v>
      </c>
      <c r="K42" s="3" t="s">
        <v>57</v>
      </c>
      <c r="L42" s="3">
        <v>0</v>
      </c>
      <c r="M42" s="3" t="s">
        <v>132</v>
      </c>
      <c r="N42" s="3" t="s">
        <v>133</v>
      </c>
      <c r="O42" s="3">
        <v>5</v>
      </c>
      <c r="P42" s="3">
        <v>2116.44</v>
      </c>
      <c r="Q42" s="3" t="s">
        <v>127</v>
      </c>
      <c r="R42" s="3" t="s">
        <v>35</v>
      </c>
    </row>
    <row r="43" spans="1:18" x14ac:dyDescent="0.25">
      <c r="A43" s="2">
        <v>45459</v>
      </c>
      <c r="B43" s="3" t="s">
        <v>41</v>
      </c>
      <c r="C43" s="2">
        <v>45468</v>
      </c>
      <c r="D43" s="8">
        <v>21.72</v>
      </c>
      <c r="E43" s="3">
        <v>65.17</v>
      </c>
      <c r="F43" s="3" t="s">
        <v>47</v>
      </c>
      <c r="G43" s="3" t="s">
        <v>21</v>
      </c>
      <c r="H43" s="3">
        <v>0.05</v>
      </c>
      <c r="I43" s="3" t="s">
        <v>22</v>
      </c>
      <c r="J43" s="9">
        <v>45459</v>
      </c>
      <c r="K43" s="3" t="s">
        <v>32</v>
      </c>
      <c r="L43" s="3">
        <v>0</v>
      </c>
      <c r="M43" s="3" t="s">
        <v>134</v>
      </c>
      <c r="N43" s="3" t="s">
        <v>135</v>
      </c>
      <c r="O43" s="3">
        <v>20</v>
      </c>
      <c r="P43" s="3">
        <v>1238.23</v>
      </c>
      <c r="Q43" s="3" t="s">
        <v>127</v>
      </c>
      <c r="R43" s="3" t="s">
        <v>46</v>
      </c>
    </row>
    <row r="44" spans="1:18" x14ac:dyDescent="0.25">
      <c r="A44" s="2">
        <v>45130</v>
      </c>
      <c r="B44" s="3" t="s">
        <v>27</v>
      </c>
      <c r="C44" s="2">
        <v>45133</v>
      </c>
      <c r="D44" s="6">
        <v>34.85</v>
      </c>
      <c r="E44" s="3">
        <v>36.17</v>
      </c>
      <c r="F44" s="3" t="s">
        <v>29</v>
      </c>
      <c r="G44" s="3" t="s">
        <v>30</v>
      </c>
      <c r="H44" s="3">
        <v>0</v>
      </c>
      <c r="I44" s="3" t="s">
        <v>22</v>
      </c>
      <c r="J44" s="7">
        <v>45130</v>
      </c>
      <c r="K44" s="3" t="s">
        <v>23</v>
      </c>
      <c r="L44" s="3">
        <v>0</v>
      </c>
      <c r="M44" s="3" t="s">
        <v>136</v>
      </c>
      <c r="N44" s="3" t="s">
        <v>137</v>
      </c>
      <c r="O44" s="3">
        <v>12</v>
      </c>
      <c r="P44" s="3">
        <v>434.04</v>
      </c>
      <c r="Q44" s="3" t="s">
        <v>19</v>
      </c>
      <c r="R44" s="3" t="s">
        <v>35</v>
      </c>
    </row>
    <row r="45" spans="1:18" x14ac:dyDescent="0.25">
      <c r="A45" s="2">
        <v>45066</v>
      </c>
      <c r="B45" s="3" t="s">
        <v>41</v>
      </c>
      <c r="C45" s="2">
        <v>45073</v>
      </c>
      <c r="D45" s="8">
        <v>27.39</v>
      </c>
      <c r="E45" s="3">
        <v>459.31</v>
      </c>
      <c r="F45" s="3" t="s">
        <v>52</v>
      </c>
      <c r="G45" s="3" t="s">
        <v>21</v>
      </c>
      <c r="H45" s="3">
        <v>0.15</v>
      </c>
      <c r="I45" s="3" t="s">
        <v>48</v>
      </c>
      <c r="J45" s="9">
        <v>45066</v>
      </c>
      <c r="K45" s="3" t="s">
        <v>32</v>
      </c>
      <c r="L45" s="3">
        <v>1</v>
      </c>
      <c r="M45" s="3" t="s">
        <v>138</v>
      </c>
      <c r="N45" s="3" t="s">
        <v>139</v>
      </c>
      <c r="O45" s="3">
        <v>4</v>
      </c>
      <c r="P45" s="3">
        <v>1561.654</v>
      </c>
      <c r="Q45" s="3" t="s">
        <v>127</v>
      </c>
      <c r="R45" s="3" t="s">
        <v>46</v>
      </c>
    </row>
    <row r="46" spans="1:18" x14ac:dyDescent="0.25">
      <c r="A46" s="2">
        <v>45107</v>
      </c>
      <c r="B46" s="3" t="s">
        <v>27</v>
      </c>
      <c r="C46" s="2">
        <v>45111</v>
      </c>
      <c r="D46" s="6">
        <v>11.62</v>
      </c>
      <c r="E46" s="3">
        <v>416.06</v>
      </c>
      <c r="F46" s="3" t="s">
        <v>52</v>
      </c>
      <c r="G46" s="3" t="s">
        <v>30</v>
      </c>
      <c r="H46" s="3">
        <v>0.05</v>
      </c>
      <c r="I46" s="3" t="s">
        <v>22</v>
      </c>
      <c r="J46" s="7">
        <v>45107</v>
      </c>
      <c r="K46" s="3" t="s">
        <v>57</v>
      </c>
      <c r="L46" s="3">
        <v>0</v>
      </c>
      <c r="M46" s="3" t="s">
        <v>140</v>
      </c>
      <c r="N46" s="3" t="s">
        <v>141</v>
      </c>
      <c r="O46" s="3">
        <v>2</v>
      </c>
      <c r="P46" s="3">
        <v>790.51400000000001</v>
      </c>
      <c r="Q46" s="3" t="s">
        <v>19</v>
      </c>
      <c r="R46" s="3" t="s">
        <v>35</v>
      </c>
    </row>
    <row r="47" spans="1:18" x14ac:dyDescent="0.25">
      <c r="A47" s="2">
        <v>45447</v>
      </c>
      <c r="B47" s="3" t="s">
        <v>27</v>
      </c>
      <c r="C47" s="2">
        <v>45457</v>
      </c>
      <c r="D47" s="8">
        <v>20.76</v>
      </c>
      <c r="E47" s="3">
        <v>302.58</v>
      </c>
      <c r="F47" s="3" t="s">
        <v>52</v>
      </c>
      <c r="G47" s="3" t="s">
        <v>30</v>
      </c>
      <c r="H47" s="3">
        <v>0</v>
      </c>
      <c r="I47" s="3" t="s">
        <v>31</v>
      </c>
      <c r="J47" s="9">
        <v>45447</v>
      </c>
      <c r="K47" s="3" t="s">
        <v>23</v>
      </c>
      <c r="L47" s="3">
        <v>1</v>
      </c>
      <c r="M47" s="3" t="s">
        <v>142</v>
      </c>
      <c r="N47" s="3" t="s">
        <v>143</v>
      </c>
      <c r="O47" s="3">
        <v>16</v>
      </c>
      <c r="P47" s="3">
        <v>4841.28</v>
      </c>
      <c r="Q47" s="3" t="s">
        <v>76</v>
      </c>
      <c r="R47" s="3" t="s">
        <v>35</v>
      </c>
    </row>
    <row r="48" spans="1:18" x14ac:dyDescent="0.25">
      <c r="A48" s="2">
        <v>45691</v>
      </c>
      <c r="B48" s="3" t="s">
        <v>66</v>
      </c>
      <c r="C48" s="2">
        <v>45693</v>
      </c>
      <c r="D48" s="6">
        <v>24.95</v>
      </c>
      <c r="E48" s="3">
        <v>33.130000000000003</v>
      </c>
      <c r="F48" s="3" t="s">
        <v>29</v>
      </c>
      <c r="G48" s="3" t="s">
        <v>30</v>
      </c>
      <c r="H48" s="3">
        <v>0.15</v>
      </c>
      <c r="I48" s="3" t="s">
        <v>43</v>
      </c>
      <c r="J48" s="7">
        <v>45691</v>
      </c>
      <c r="K48" s="3" t="s">
        <v>23</v>
      </c>
      <c r="L48" s="3">
        <v>0</v>
      </c>
      <c r="M48" s="3" t="s">
        <v>144</v>
      </c>
      <c r="N48" s="3" t="s">
        <v>145</v>
      </c>
      <c r="O48" s="3">
        <v>11</v>
      </c>
      <c r="P48" s="3">
        <v>309.76549999999997</v>
      </c>
      <c r="Q48" s="3" t="s">
        <v>42</v>
      </c>
      <c r="R48" s="3" t="s">
        <v>69</v>
      </c>
    </row>
    <row r="49" spans="1:18" x14ac:dyDescent="0.25">
      <c r="A49" s="2">
        <v>45300</v>
      </c>
      <c r="B49" s="3" t="s">
        <v>18</v>
      </c>
      <c r="C49" s="2">
        <v>45304</v>
      </c>
      <c r="D49" s="8">
        <v>6.47</v>
      </c>
      <c r="E49" s="3">
        <v>582.52</v>
      </c>
      <c r="F49" s="3" t="s">
        <v>52</v>
      </c>
      <c r="G49" s="3" t="s">
        <v>30</v>
      </c>
      <c r="H49" s="3">
        <v>0.15</v>
      </c>
      <c r="I49" s="3" t="s">
        <v>43</v>
      </c>
      <c r="J49" s="9">
        <v>45300</v>
      </c>
      <c r="K49" s="3" t="s">
        <v>32</v>
      </c>
      <c r="L49" s="3">
        <v>0</v>
      </c>
      <c r="M49" s="3" t="s">
        <v>146</v>
      </c>
      <c r="N49" s="3" t="s">
        <v>147</v>
      </c>
      <c r="O49" s="3">
        <v>8</v>
      </c>
      <c r="P49" s="3">
        <v>3961.136</v>
      </c>
      <c r="Q49" s="3" t="s">
        <v>76</v>
      </c>
      <c r="R49" s="3" t="s">
        <v>26</v>
      </c>
    </row>
    <row r="50" spans="1:18" x14ac:dyDescent="0.25">
      <c r="A50" s="2">
        <v>45365</v>
      </c>
      <c r="B50" s="3" t="s">
        <v>36</v>
      </c>
      <c r="C50" s="2">
        <v>45367</v>
      </c>
      <c r="D50" s="6">
        <v>20.57</v>
      </c>
      <c r="E50" s="3">
        <v>165.15</v>
      </c>
      <c r="F50" s="3" t="s">
        <v>29</v>
      </c>
      <c r="G50" s="3" t="s">
        <v>30</v>
      </c>
      <c r="H50" s="3">
        <v>0.1</v>
      </c>
      <c r="I50" s="3" t="s">
        <v>22</v>
      </c>
      <c r="J50" s="7">
        <v>45365</v>
      </c>
      <c r="K50" s="3" t="s">
        <v>32</v>
      </c>
      <c r="L50" s="3">
        <v>0</v>
      </c>
      <c r="M50" s="3" t="s">
        <v>148</v>
      </c>
      <c r="N50" s="3" t="s">
        <v>149</v>
      </c>
      <c r="O50" s="3">
        <v>5</v>
      </c>
      <c r="P50" s="3">
        <v>743.17500000000007</v>
      </c>
      <c r="Q50" s="3" t="s">
        <v>37</v>
      </c>
      <c r="R50" s="3" t="s">
        <v>40</v>
      </c>
    </row>
    <row r="51" spans="1:18" x14ac:dyDescent="0.25">
      <c r="A51" s="2">
        <v>45541</v>
      </c>
      <c r="B51" s="3" t="s">
        <v>66</v>
      </c>
      <c r="C51" s="2">
        <v>45548</v>
      </c>
      <c r="D51" s="8">
        <v>20.71</v>
      </c>
      <c r="E51" s="3">
        <v>242.82</v>
      </c>
      <c r="F51" s="3" t="s">
        <v>52</v>
      </c>
      <c r="G51" s="3" t="s">
        <v>21</v>
      </c>
      <c r="H51" s="3">
        <v>0.15</v>
      </c>
      <c r="I51" s="3" t="s">
        <v>31</v>
      </c>
      <c r="J51" s="9">
        <v>45541</v>
      </c>
      <c r="K51" s="3" t="s">
        <v>60</v>
      </c>
      <c r="L51" s="3">
        <v>1</v>
      </c>
      <c r="M51" s="3" t="s">
        <v>150</v>
      </c>
      <c r="N51" s="3" t="s">
        <v>151</v>
      </c>
      <c r="O51" s="3">
        <v>14</v>
      </c>
      <c r="P51" s="3">
        <v>2889.558</v>
      </c>
      <c r="Q51" s="3" t="s">
        <v>51</v>
      </c>
      <c r="R51" s="3" t="s">
        <v>69</v>
      </c>
    </row>
    <row r="52" spans="1:18" x14ac:dyDescent="0.25">
      <c r="A52" s="2">
        <v>45002</v>
      </c>
      <c r="B52" s="3" t="s">
        <v>18</v>
      </c>
      <c r="C52" s="2">
        <v>45005</v>
      </c>
      <c r="D52" s="6">
        <v>12.87</v>
      </c>
      <c r="E52" s="3">
        <v>65.989999999999995</v>
      </c>
      <c r="F52" s="3" t="s">
        <v>29</v>
      </c>
      <c r="G52" s="3" t="s">
        <v>21</v>
      </c>
      <c r="H52" s="3">
        <v>0.1</v>
      </c>
      <c r="I52" s="3" t="s">
        <v>43</v>
      </c>
      <c r="J52" s="7">
        <v>45002</v>
      </c>
      <c r="K52" s="3" t="s">
        <v>60</v>
      </c>
      <c r="L52" s="3">
        <v>0</v>
      </c>
      <c r="M52" s="3" t="s">
        <v>152</v>
      </c>
      <c r="N52" s="3" t="s">
        <v>153</v>
      </c>
      <c r="O52" s="3">
        <v>13</v>
      </c>
      <c r="P52" s="3">
        <v>772.08299999999997</v>
      </c>
      <c r="Q52" s="3" t="s">
        <v>51</v>
      </c>
      <c r="R52" s="3" t="s">
        <v>26</v>
      </c>
    </row>
    <row r="53" spans="1:18" x14ac:dyDescent="0.25">
      <c r="A53" s="2">
        <v>45674</v>
      </c>
      <c r="B53" s="3" t="s">
        <v>66</v>
      </c>
      <c r="C53" s="2">
        <v>45681</v>
      </c>
      <c r="D53" s="8">
        <v>42.49</v>
      </c>
      <c r="E53" s="3">
        <v>251.69</v>
      </c>
      <c r="F53" s="3" t="s">
        <v>47</v>
      </c>
      <c r="G53" s="3" t="s">
        <v>21</v>
      </c>
      <c r="H53" s="3">
        <v>0</v>
      </c>
      <c r="I53" s="3" t="s">
        <v>31</v>
      </c>
      <c r="J53" s="9">
        <v>45674</v>
      </c>
      <c r="K53" s="3" t="s">
        <v>57</v>
      </c>
      <c r="L53" s="3">
        <v>0</v>
      </c>
      <c r="M53" s="3" t="s">
        <v>154</v>
      </c>
      <c r="N53" s="3" t="s">
        <v>155</v>
      </c>
      <c r="O53" s="3">
        <v>2</v>
      </c>
      <c r="P53" s="3">
        <v>503.38</v>
      </c>
      <c r="Q53" s="3" t="s">
        <v>42</v>
      </c>
      <c r="R53" s="3" t="s">
        <v>69</v>
      </c>
    </row>
    <row r="54" spans="1:18" x14ac:dyDescent="0.25">
      <c r="A54" s="2">
        <v>45547</v>
      </c>
      <c r="B54" s="3" t="s">
        <v>27</v>
      </c>
      <c r="C54" s="2">
        <v>45553</v>
      </c>
      <c r="D54" s="6">
        <v>19.22</v>
      </c>
      <c r="E54" s="3">
        <v>269.41000000000003</v>
      </c>
      <c r="F54" s="3" t="s">
        <v>20</v>
      </c>
      <c r="G54" s="3" t="s">
        <v>21</v>
      </c>
      <c r="H54" s="3">
        <v>0.1</v>
      </c>
      <c r="I54" s="3" t="s">
        <v>22</v>
      </c>
      <c r="J54" s="7">
        <v>45547</v>
      </c>
      <c r="K54" s="3" t="s">
        <v>60</v>
      </c>
      <c r="L54" s="3">
        <v>1</v>
      </c>
      <c r="M54" s="3" t="s">
        <v>156</v>
      </c>
      <c r="N54" s="3" t="s">
        <v>157</v>
      </c>
      <c r="O54" s="3">
        <v>1</v>
      </c>
      <c r="P54" s="3">
        <v>242.46899999999999</v>
      </c>
      <c r="Q54" s="3" t="s">
        <v>19</v>
      </c>
      <c r="R54" s="3" t="s">
        <v>35</v>
      </c>
    </row>
    <row r="55" spans="1:18" x14ac:dyDescent="0.25">
      <c r="A55" s="2">
        <v>45296</v>
      </c>
      <c r="B55" s="3" t="s">
        <v>27</v>
      </c>
      <c r="C55" s="2">
        <v>45306</v>
      </c>
      <c r="D55" s="8">
        <v>36.51</v>
      </c>
      <c r="E55" s="3">
        <v>371.3</v>
      </c>
      <c r="F55" s="3" t="s">
        <v>20</v>
      </c>
      <c r="G55" s="3" t="s">
        <v>21</v>
      </c>
      <c r="H55" s="3">
        <v>0.05</v>
      </c>
      <c r="I55" s="3" t="s">
        <v>63</v>
      </c>
      <c r="J55" s="9">
        <v>45296</v>
      </c>
      <c r="K55" s="3" t="s">
        <v>54</v>
      </c>
      <c r="L55" s="3">
        <v>0</v>
      </c>
      <c r="M55" s="3" t="s">
        <v>158</v>
      </c>
      <c r="N55" s="3" t="s">
        <v>159</v>
      </c>
      <c r="O55" s="3">
        <v>2</v>
      </c>
      <c r="P55" s="3">
        <v>705.47</v>
      </c>
      <c r="Q55" s="3" t="s">
        <v>51</v>
      </c>
      <c r="R55" s="3" t="s">
        <v>35</v>
      </c>
    </row>
    <row r="56" spans="1:18" x14ac:dyDescent="0.25">
      <c r="A56" s="2">
        <v>45401</v>
      </c>
      <c r="B56" s="3" t="s">
        <v>66</v>
      </c>
      <c r="C56" s="2">
        <v>45407</v>
      </c>
      <c r="D56" s="6">
        <v>37.39</v>
      </c>
      <c r="E56" s="3">
        <v>288.24</v>
      </c>
      <c r="F56" s="3" t="s">
        <v>29</v>
      </c>
      <c r="G56" s="3" t="s">
        <v>21</v>
      </c>
      <c r="H56" s="3">
        <v>0.15</v>
      </c>
      <c r="I56" s="3" t="s">
        <v>53</v>
      </c>
      <c r="J56" s="7">
        <v>45401</v>
      </c>
      <c r="K56" s="3" t="s">
        <v>23</v>
      </c>
      <c r="L56" s="3">
        <v>0</v>
      </c>
      <c r="M56" s="3" t="s">
        <v>160</v>
      </c>
      <c r="N56" s="3" t="s">
        <v>161</v>
      </c>
      <c r="O56" s="3">
        <v>11</v>
      </c>
      <c r="P56" s="3">
        <v>2695.0439999999999</v>
      </c>
      <c r="Q56" s="3" t="s">
        <v>76</v>
      </c>
      <c r="R56" s="3" t="s">
        <v>69</v>
      </c>
    </row>
    <row r="57" spans="1:18" x14ac:dyDescent="0.25">
      <c r="A57" s="2">
        <v>45819</v>
      </c>
      <c r="B57" s="3" t="s">
        <v>41</v>
      </c>
      <c r="C57" s="2">
        <v>45829</v>
      </c>
      <c r="D57" s="8">
        <v>36.33</v>
      </c>
      <c r="E57" s="3">
        <v>232.75</v>
      </c>
      <c r="F57" s="3" t="s">
        <v>52</v>
      </c>
      <c r="G57" s="3" t="s">
        <v>21</v>
      </c>
      <c r="H57" s="3">
        <v>0.05</v>
      </c>
      <c r="I57" s="3" t="s">
        <v>22</v>
      </c>
      <c r="J57" s="9">
        <v>45819</v>
      </c>
      <c r="K57" s="3" t="s">
        <v>54</v>
      </c>
      <c r="L57" s="3">
        <v>0</v>
      </c>
      <c r="M57" s="3" t="s">
        <v>162</v>
      </c>
      <c r="N57" s="3" t="s">
        <v>163</v>
      </c>
      <c r="O57" s="3">
        <v>11</v>
      </c>
      <c r="P57" s="3">
        <v>2432.2375000000002</v>
      </c>
      <c r="Q57" s="3" t="s">
        <v>76</v>
      </c>
      <c r="R57" s="3" t="s">
        <v>46</v>
      </c>
    </row>
    <row r="58" spans="1:18" x14ac:dyDescent="0.25">
      <c r="A58" s="2">
        <v>45722</v>
      </c>
      <c r="B58" s="3" t="s">
        <v>18</v>
      </c>
      <c r="C58" s="2">
        <v>45731</v>
      </c>
      <c r="D58" s="6">
        <v>7.84</v>
      </c>
      <c r="E58" s="3">
        <v>146.28</v>
      </c>
      <c r="F58" s="3" t="s">
        <v>20</v>
      </c>
      <c r="G58" s="3" t="s">
        <v>30</v>
      </c>
      <c r="H58" s="3">
        <v>0.15</v>
      </c>
      <c r="I58" s="3" t="s">
        <v>48</v>
      </c>
      <c r="J58" s="7">
        <v>45722</v>
      </c>
      <c r="K58" s="3" t="s">
        <v>60</v>
      </c>
      <c r="L58" s="3">
        <v>0</v>
      </c>
      <c r="M58" s="3" t="s">
        <v>164</v>
      </c>
      <c r="N58" s="3" t="s">
        <v>165</v>
      </c>
      <c r="O58" s="3">
        <v>17</v>
      </c>
      <c r="P58" s="3">
        <v>2113.7460000000001</v>
      </c>
      <c r="Q58" s="3" t="s">
        <v>28</v>
      </c>
      <c r="R58" s="3" t="s">
        <v>26</v>
      </c>
    </row>
    <row r="59" spans="1:18" x14ac:dyDescent="0.25">
      <c r="A59" s="2">
        <v>45070</v>
      </c>
      <c r="B59" s="3" t="s">
        <v>18</v>
      </c>
      <c r="C59" s="2">
        <v>45072</v>
      </c>
      <c r="D59" s="8">
        <v>18.350000000000001</v>
      </c>
      <c r="E59" s="3">
        <v>100.38</v>
      </c>
      <c r="F59" s="3" t="s">
        <v>47</v>
      </c>
      <c r="G59" s="3" t="s">
        <v>30</v>
      </c>
      <c r="H59" s="3">
        <v>0.1</v>
      </c>
      <c r="I59" s="3" t="s">
        <v>22</v>
      </c>
      <c r="J59" s="9">
        <v>45070</v>
      </c>
      <c r="K59" s="3" t="s">
        <v>32</v>
      </c>
      <c r="L59" s="3">
        <v>1</v>
      </c>
      <c r="M59" s="3" t="s">
        <v>166</v>
      </c>
      <c r="N59" s="3" t="s">
        <v>167</v>
      </c>
      <c r="O59" s="3">
        <v>5</v>
      </c>
      <c r="P59" s="3">
        <v>451.71</v>
      </c>
      <c r="Q59" s="3" t="s">
        <v>42</v>
      </c>
      <c r="R59" s="3" t="s">
        <v>26</v>
      </c>
    </row>
    <row r="60" spans="1:18" x14ac:dyDescent="0.25">
      <c r="A60" s="2">
        <v>44953</v>
      </c>
      <c r="B60" s="3" t="s">
        <v>27</v>
      </c>
      <c r="C60" s="2">
        <v>44960</v>
      </c>
      <c r="D60" s="6">
        <v>15.95</v>
      </c>
      <c r="E60" s="3">
        <v>375.48</v>
      </c>
      <c r="F60" s="3" t="s">
        <v>20</v>
      </c>
      <c r="G60" s="3" t="s">
        <v>30</v>
      </c>
      <c r="H60" s="3">
        <v>0.05</v>
      </c>
      <c r="I60" s="3" t="s">
        <v>63</v>
      </c>
      <c r="J60" s="7">
        <v>44953</v>
      </c>
      <c r="K60" s="3" t="s">
        <v>57</v>
      </c>
      <c r="L60" s="3">
        <v>0</v>
      </c>
      <c r="M60" s="3" t="s">
        <v>168</v>
      </c>
      <c r="N60" s="3" t="s">
        <v>169</v>
      </c>
      <c r="O60" s="3">
        <v>11</v>
      </c>
      <c r="P60" s="3">
        <v>3923.766000000001</v>
      </c>
      <c r="Q60" s="3" t="s">
        <v>28</v>
      </c>
      <c r="R60" s="3" t="s">
        <v>35</v>
      </c>
    </row>
    <row r="61" spans="1:18" x14ac:dyDescent="0.25">
      <c r="A61" s="2">
        <v>45372</v>
      </c>
      <c r="B61" s="3" t="s">
        <v>27</v>
      </c>
      <c r="C61" s="2">
        <v>45378</v>
      </c>
      <c r="D61" s="8">
        <v>15.69</v>
      </c>
      <c r="E61" s="3">
        <v>316.89</v>
      </c>
      <c r="F61" s="3" t="s">
        <v>20</v>
      </c>
      <c r="G61" s="3" t="s">
        <v>21</v>
      </c>
      <c r="H61" s="3">
        <v>0.05</v>
      </c>
      <c r="I61" s="3" t="s">
        <v>63</v>
      </c>
      <c r="J61" s="9">
        <v>45372</v>
      </c>
      <c r="K61" s="3" t="s">
        <v>60</v>
      </c>
      <c r="L61" s="3">
        <v>0</v>
      </c>
      <c r="M61" s="3" t="s">
        <v>170</v>
      </c>
      <c r="N61" s="3" t="s">
        <v>171</v>
      </c>
      <c r="O61" s="3">
        <v>18</v>
      </c>
      <c r="P61" s="3">
        <v>5418.8190000000004</v>
      </c>
      <c r="Q61" s="3" t="s">
        <v>19</v>
      </c>
      <c r="R61" s="3" t="s">
        <v>35</v>
      </c>
    </row>
    <row r="62" spans="1:18" x14ac:dyDescent="0.25">
      <c r="A62" s="2">
        <v>45682</v>
      </c>
      <c r="B62" s="3" t="s">
        <v>66</v>
      </c>
      <c r="C62" s="2">
        <v>45688</v>
      </c>
      <c r="D62" s="6">
        <v>13.66</v>
      </c>
      <c r="E62" s="3">
        <v>295.06</v>
      </c>
      <c r="F62" s="3" t="s">
        <v>52</v>
      </c>
      <c r="G62" s="3" t="s">
        <v>30</v>
      </c>
      <c r="H62" s="3">
        <v>0.15</v>
      </c>
      <c r="I62" s="3" t="s">
        <v>43</v>
      </c>
      <c r="J62" s="7">
        <v>45682</v>
      </c>
      <c r="K62" s="3" t="s">
        <v>23</v>
      </c>
      <c r="L62" s="3">
        <v>1</v>
      </c>
      <c r="M62" s="3" t="s">
        <v>172</v>
      </c>
      <c r="N62" s="3" t="s">
        <v>173</v>
      </c>
      <c r="O62" s="3">
        <v>20</v>
      </c>
      <c r="P62" s="3">
        <v>5016.0200000000004</v>
      </c>
      <c r="Q62" s="3" t="s">
        <v>19</v>
      </c>
      <c r="R62" s="3" t="s">
        <v>69</v>
      </c>
    </row>
    <row r="63" spans="1:18" x14ac:dyDescent="0.25">
      <c r="A63" s="2">
        <v>45089</v>
      </c>
      <c r="B63" s="3" t="s">
        <v>41</v>
      </c>
      <c r="C63" s="2">
        <v>45098</v>
      </c>
      <c r="D63" s="8">
        <v>36.54</v>
      </c>
      <c r="E63" s="3">
        <v>301.68</v>
      </c>
      <c r="F63" s="3" t="s">
        <v>52</v>
      </c>
      <c r="G63" s="3" t="s">
        <v>30</v>
      </c>
      <c r="H63" s="3">
        <v>0</v>
      </c>
      <c r="I63" s="3" t="s">
        <v>22</v>
      </c>
      <c r="J63" s="9">
        <v>45089</v>
      </c>
      <c r="K63" s="3" t="s">
        <v>60</v>
      </c>
      <c r="L63" s="3">
        <v>0</v>
      </c>
      <c r="M63" s="3" t="s">
        <v>174</v>
      </c>
      <c r="N63" s="3" t="s">
        <v>175</v>
      </c>
      <c r="O63" s="3">
        <v>8</v>
      </c>
      <c r="P63" s="3">
        <v>2413.44</v>
      </c>
      <c r="Q63" s="3" t="s">
        <v>28</v>
      </c>
      <c r="R63" s="3" t="s">
        <v>46</v>
      </c>
    </row>
    <row r="64" spans="1:18" x14ac:dyDescent="0.25">
      <c r="A64" s="2">
        <v>45738</v>
      </c>
      <c r="B64" s="3" t="s">
        <v>41</v>
      </c>
      <c r="C64" s="2">
        <v>45742</v>
      </c>
      <c r="D64" s="6">
        <v>15.62</v>
      </c>
      <c r="E64" s="3">
        <v>475.39</v>
      </c>
      <c r="F64" s="3" t="s">
        <v>20</v>
      </c>
      <c r="G64" s="3" t="s">
        <v>30</v>
      </c>
      <c r="H64" s="3">
        <v>0.1</v>
      </c>
      <c r="I64" s="3" t="s">
        <v>31</v>
      </c>
      <c r="J64" s="7">
        <v>45738</v>
      </c>
      <c r="K64" s="3" t="s">
        <v>32</v>
      </c>
      <c r="L64" s="3">
        <v>0</v>
      </c>
      <c r="M64" s="3" t="s">
        <v>176</v>
      </c>
      <c r="N64" s="3" t="s">
        <v>177</v>
      </c>
      <c r="O64" s="3">
        <v>3</v>
      </c>
      <c r="P64" s="3">
        <v>1283.5530000000001</v>
      </c>
      <c r="Q64" s="3" t="s">
        <v>42</v>
      </c>
      <c r="R64" s="3" t="s">
        <v>46</v>
      </c>
    </row>
    <row r="65" spans="1:18" x14ac:dyDescent="0.25">
      <c r="A65" s="2">
        <v>45346</v>
      </c>
      <c r="B65" s="3" t="s">
        <v>41</v>
      </c>
      <c r="C65" s="2">
        <v>45349</v>
      </c>
      <c r="D65" s="8">
        <v>29.5</v>
      </c>
      <c r="E65" s="3">
        <v>47.25</v>
      </c>
      <c r="F65" s="3" t="s">
        <v>52</v>
      </c>
      <c r="G65" s="3" t="s">
        <v>30</v>
      </c>
      <c r="H65" s="3">
        <v>0.15</v>
      </c>
      <c r="I65" s="3" t="s">
        <v>63</v>
      </c>
      <c r="J65" s="9">
        <v>45346</v>
      </c>
      <c r="K65" s="3" t="s">
        <v>57</v>
      </c>
      <c r="L65" s="3">
        <v>0</v>
      </c>
      <c r="M65" s="3" t="s">
        <v>178</v>
      </c>
      <c r="N65" s="3" t="s">
        <v>179</v>
      </c>
      <c r="O65" s="3">
        <v>16</v>
      </c>
      <c r="P65" s="3">
        <v>642.6</v>
      </c>
      <c r="Q65" s="3" t="s">
        <v>37</v>
      </c>
      <c r="R65" s="3" t="s">
        <v>46</v>
      </c>
    </row>
    <row r="66" spans="1:18" x14ac:dyDescent="0.25">
      <c r="A66" s="2">
        <v>45269</v>
      </c>
      <c r="B66" s="3" t="s">
        <v>27</v>
      </c>
      <c r="C66" s="2">
        <v>45272</v>
      </c>
      <c r="D66" s="6">
        <v>21.77</v>
      </c>
      <c r="E66" s="3">
        <v>511.17</v>
      </c>
      <c r="F66" s="3" t="s">
        <v>20</v>
      </c>
      <c r="G66" s="3" t="s">
        <v>21</v>
      </c>
      <c r="H66" s="3">
        <v>0</v>
      </c>
      <c r="I66" s="3" t="s">
        <v>43</v>
      </c>
      <c r="J66" s="7">
        <v>45269</v>
      </c>
      <c r="K66" s="3" t="s">
        <v>23</v>
      </c>
      <c r="L66" s="3">
        <v>0</v>
      </c>
      <c r="M66" s="3" t="s">
        <v>180</v>
      </c>
      <c r="N66" s="3" t="s">
        <v>181</v>
      </c>
      <c r="O66" s="3">
        <v>15</v>
      </c>
      <c r="P66" s="3">
        <v>7667.55</v>
      </c>
      <c r="Q66" s="3" t="s">
        <v>42</v>
      </c>
      <c r="R66" s="3" t="s">
        <v>35</v>
      </c>
    </row>
    <row r="67" spans="1:18" x14ac:dyDescent="0.25">
      <c r="A67" s="2">
        <v>45200</v>
      </c>
      <c r="B67" s="3" t="s">
        <v>41</v>
      </c>
      <c r="C67" s="2">
        <v>45204</v>
      </c>
      <c r="D67" s="8">
        <v>22.43</v>
      </c>
      <c r="E67" s="3">
        <v>66.58</v>
      </c>
      <c r="F67" s="3" t="s">
        <v>20</v>
      </c>
      <c r="G67" s="3" t="s">
        <v>30</v>
      </c>
      <c r="H67" s="3">
        <v>0.1</v>
      </c>
      <c r="I67" s="3" t="s">
        <v>43</v>
      </c>
      <c r="J67" s="9">
        <v>45200</v>
      </c>
      <c r="K67" s="3" t="s">
        <v>57</v>
      </c>
      <c r="L67" s="3">
        <v>0</v>
      </c>
      <c r="M67" s="3" t="s">
        <v>182</v>
      </c>
      <c r="N67" s="3" t="s">
        <v>183</v>
      </c>
      <c r="O67" s="3">
        <v>3</v>
      </c>
      <c r="P67" s="3">
        <v>179.76599999999999</v>
      </c>
      <c r="Q67" s="3" t="s">
        <v>51</v>
      </c>
      <c r="R67" s="3" t="s">
        <v>46</v>
      </c>
    </row>
    <row r="68" spans="1:18" x14ac:dyDescent="0.25">
      <c r="A68" s="2">
        <v>45138</v>
      </c>
      <c r="B68" s="3" t="s">
        <v>66</v>
      </c>
      <c r="C68" s="2">
        <v>45145</v>
      </c>
      <c r="D68" s="6">
        <v>12.24</v>
      </c>
      <c r="E68" s="3">
        <v>490.52</v>
      </c>
      <c r="F68" s="3" t="s">
        <v>52</v>
      </c>
      <c r="G68" s="3" t="s">
        <v>21</v>
      </c>
      <c r="H68" s="3">
        <v>0.05</v>
      </c>
      <c r="I68" s="3" t="s">
        <v>43</v>
      </c>
      <c r="J68" s="7">
        <v>45138</v>
      </c>
      <c r="K68" s="3" t="s">
        <v>23</v>
      </c>
      <c r="L68" s="3">
        <v>0</v>
      </c>
      <c r="M68" s="3" t="s">
        <v>184</v>
      </c>
      <c r="N68" s="3" t="s">
        <v>185</v>
      </c>
      <c r="O68" s="3">
        <v>5</v>
      </c>
      <c r="P68" s="3">
        <v>2329.9699999999998</v>
      </c>
      <c r="Q68" s="3" t="s">
        <v>76</v>
      </c>
      <c r="R68" s="3" t="s">
        <v>69</v>
      </c>
    </row>
    <row r="69" spans="1:18" x14ac:dyDescent="0.25">
      <c r="A69" s="2">
        <v>45650</v>
      </c>
      <c r="B69" s="3" t="s">
        <v>27</v>
      </c>
      <c r="C69" s="2">
        <v>45657</v>
      </c>
      <c r="D69" s="8">
        <v>41.27</v>
      </c>
      <c r="E69" s="3">
        <v>405.96</v>
      </c>
      <c r="F69" s="3" t="s">
        <v>29</v>
      </c>
      <c r="G69" s="3" t="s">
        <v>21</v>
      </c>
      <c r="H69" s="3">
        <v>0.05</v>
      </c>
      <c r="I69" s="3" t="s">
        <v>48</v>
      </c>
      <c r="J69" s="9">
        <v>45650</v>
      </c>
      <c r="K69" s="3" t="s">
        <v>54</v>
      </c>
      <c r="L69" s="3">
        <v>0</v>
      </c>
      <c r="M69" s="3" t="s">
        <v>186</v>
      </c>
      <c r="N69" s="3" t="s">
        <v>187</v>
      </c>
      <c r="O69" s="3">
        <v>8</v>
      </c>
      <c r="P69" s="3">
        <v>3085.2959999999998</v>
      </c>
      <c r="Q69" s="3" t="s">
        <v>42</v>
      </c>
      <c r="R69" s="3" t="s">
        <v>35</v>
      </c>
    </row>
    <row r="70" spans="1:18" x14ac:dyDescent="0.25">
      <c r="A70" s="2">
        <v>45611</v>
      </c>
      <c r="B70" s="3" t="s">
        <v>36</v>
      </c>
      <c r="C70" s="2">
        <v>45615</v>
      </c>
      <c r="D70" s="6">
        <v>35.14</v>
      </c>
      <c r="E70" s="3">
        <v>159.41</v>
      </c>
      <c r="F70" s="3" t="s">
        <v>20</v>
      </c>
      <c r="G70" s="3" t="s">
        <v>30</v>
      </c>
      <c r="H70" s="3">
        <v>0.1</v>
      </c>
      <c r="I70" s="3" t="s">
        <v>63</v>
      </c>
      <c r="J70" s="7">
        <v>45611</v>
      </c>
      <c r="K70" s="3" t="s">
        <v>54</v>
      </c>
      <c r="L70" s="3">
        <v>0</v>
      </c>
      <c r="M70" s="3" t="s">
        <v>188</v>
      </c>
      <c r="N70" s="3" t="s">
        <v>189</v>
      </c>
      <c r="O70" s="3">
        <v>1</v>
      </c>
      <c r="P70" s="3">
        <v>143.46899999999999</v>
      </c>
      <c r="Q70" s="3" t="s">
        <v>28</v>
      </c>
      <c r="R70" s="3" t="s">
        <v>40</v>
      </c>
    </row>
    <row r="71" spans="1:18" x14ac:dyDescent="0.25">
      <c r="A71" s="2">
        <v>45729</v>
      </c>
      <c r="B71" s="3" t="s">
        <v>66</v>
      </c>
      <c r="C71" s="2">
        <v>45738</v>
      </c>
      <c r="D71" s="8">
        <v>8.3800000000000008</v>
      </c>
      <c r="E71" s="3">
        <v>38.49</v>
      </c>
      <c r="F71" s="3" t="s">
        <v>47</v>
      </c>
      <c r="G71" s="3" t="s">
        <v>30</v>
      </c>
      <c r="H71" s="3">
        <v>0.15</v>
      </c>
      <c r="I71" s="3" t="s">
        <v>48</v>
      </c>
      <c r="J71" s="9">
        <v>45729</v>
      </c>
      <c r="K71" s="3" t="s">
        <v>57</v>
      </c>
      <c r="L71" s="3">
        <v>0</v>
      </c>
      <c r="M71" s="3" t="s">
        <v>190</v>
      </c>
      <c r="N71" s="3" t="s">
        <v>191</v>
      </c>
      <c r="O71" s="3">
        <v>16</v>
      </c>
      <c r="P71" s="3">
        <v>523.46400000000006</v>
      </c>
      <c r="Q71" s="3" t="s">
        <v>51</v>
      </c>
      <c r="R71" s="3" t="s">
        <v>69</v>
      </c>
    </row>
    <row r="72" spans="1:18" x14ac:dyDescent="0.25">
      <c r="A72" s="2">
        <v>45354</v>
      </c>
      <c r="B72" s="3" t="s">
        <v>18</v>
      </c>
      <c r="C72" s="2">
        <v>45363</v>
      </c>
      <c r="D72" s="6">
        <v>15.76</v>
      </c>
      <c r="E72" s="3">
        <v>328.36</v>
      </c>
      <c r="F72" s="3" t="s">
        <v>52</v>
      </c>
      <c r="G72" s="3" t="s">
        <v>30</v>
      </c>
      <c r="H72" s="3">
        <v>0.15</v>
      </c>
      <c r="I72" s="3" t="s">
        <v>31</v>
      </c>
      <c r="J72" s="7">
        <v>45354</v>
      </c>
      <c r="K72" s="3" t="s">
        <v>32</v>
      </c>
      <c r="L72" s="3">
        <v>0</v>
      </c>
      <c r="M72" s="3" t="s">
        <v>192</v>
      </c>
      <c r="N72" s="3" t="s">
        <v>193</v>
      </c>
      <c r="O72" s="3">
        <v>15</v>
      </c>
      <c r="P72" s="3">
        <v>4186.59</v>
      </c>
      <c r="Q72" s="3" t="s">
        <v>76</v>
      </c>
      <c r="R72" s="3" t="s">
        <v>26</v>
      </c>
    </row>
    <row r="73" spans="1:18" x14ac:dyDescent="0.25">
      <c r="A73" s="2">
        <v>44968</v>
      </c>
      <c r="B73" s="3" t="s">
        <v>41</v>
      </c>
      <c r="C73" s="2">
        <v>44971</v>
      </c>
      <c r="D73" s="8">
        <v>5.89</v>
      </c>
      <c r="E73" s="3">
        <v>548.01</v>
      </c>
      <c r="F73" s="3" t="s">
        <v>29</v>
      </c>
      <c r="G73" s="3" t="s">
        <v>21</v>
      </c>
      <c r="H73" s="3">
        <v>0.1</v>
      </c>
      <c r="I73" s="3" t="s">
        <v>22</v>
      </c>
      <c r="J73" s="9">
        <v>44968</v>
      </c>
      <c r="K73" s="3" t="s">
        <v>54</v>
      </c>
      <c r="L73" s="3">
        <v>1</v>
      </c>
      <c r="M73" s="3" t="s">
        <v>194</v>
      </c>
      <c r="N73" s="3" t="s">
        <v>195</v>
      </c>
      <c r="O73" s="3">
        <v>20</v>
      </c>
      <c r="P73" s="3">
        <v>9864.18</v>
      </c>
      <c r="Q73" s="3" t="s">
        <v>76</v>
      </c>
      <c r="R73" s="3" t="s">
        <v>46</v>
      </c>
    </row>
    <row r="74" spans="1:18" x14ac:dyDescent="0.25">
      <c r="A74" s="2">
        <v>45225</v>
      </c>
      <c r="B74" s="3" t="s">
        <v>27</v>
      </c>
      <c r="C74" s="2">
        <v>45235</v>
      </c>
      <c r="D74" s="6">
        <v>6.57</v>
      </c>
      <c r="E74" s="3">
        <v>484.45</v>
      </c>
      <c r="F74" s="3" t="s">
        <v>20</v>
      </c>
      <c r="G74" s="3" t="s">
        <v>21</v>
      </c>
      <c r="H74" s="3">
        <v>0.05</v>
      </c>
      <c r="I74" s="3" t="s">
        <v>48</v>
      </c>
      <c r="J74" s="7">
        <v>45225</v>
      </c>
      <c r="K74" s="3" t="s">
        <v>32</v>
      </c>
      <c r="L74" s="3">
        <v>1</v>
      </c>
      <c r="M74" s="3" t="s">
        <v>196</v>
      </c>
      <c r="N74" s="3" t="s">
        <v>197</v>
      </c>
      <c r="O74" s="3">
        <v>13</v>
      </c>
      <c r="P74" s="3">
        <v>5982.9575000000004</v>
      </c>
      <c r="Q74" s="3" t="s">
        <v>37</v>
      </c>
      <c r="R74" s="3" t="s">
        <v>35</v>
      </c>
    </row>
    <row r="75" spans="1:18" x14ac:dyDescent="0.25">
      <c r="A75" s="2">
        <v>45220</v>
      </c>
      <c r="B75" s="3" t="s">
        <v>27</v>
      </c>
      <c r="C75" s="2">
        <v>45227</v>
      </c>
      <c r="D75" s="8">
        <v>33.520000000000003</v>
      </c>
      <c r="E75" s="3">
        <v>195.84</v>
      </c>
      <c r="F75" s="3" t="s">
        <v>29</v>
      </c>
      <c r="G75" s="3" t="s">
        <v>21</v>
      </c>
      <c r="H75" s="3">
        <v>0.05</v>
      </c>
      <c r="I75" s="3" t="s">
        <v>31</v>
      </c>
      <c r="J75" s="9">
        <v>45220</v>
      </c>
      <c r="K75" s="3" t="s">
        <v>54</v>
      </c>
      <c r="L75" s="3">
        <v>0</v>
      </c>
      <c r="M75" s="3" t="s">
        <v>198</v>
      </c>
      <c r="N75" s="3" t="s">
        <v>199</v>
      </c>
      <c r="O75" s="3">
        <v>13</v>
      </c>
      <c r="P75" s="3">
        <v>2418.6239999999998</v>
      </c>
      <c r="Q75" s="3" t="s">
        <v>51</v>
      </c>
      <c r="R75" s="3" t="s">
        <v>35</v>
      </c>
    </row>
    <row r="76" spans="1:18" x14ac:dyDescent="0.25">
      <c r="A76" s="2">
        <v>45305</v>
      </c>
      <c r="B76" s="3" t="s">
        <v>41</v>
      </c>
      <c r="C76" s="2">
        <v>45311</v>
      </c>
      <c r="D76" s="6">
        <v>33.590000000000003</v>
      </c>
      <c r="E76" s="3">
        <v>29.94</v>
      </c>
      <c r="F76" s="3" t="s">
        <v>52</v>
      </c>
      <c r="G76" s="3" t="s">
        <v>30</v>
      </c>
      <c r="H76" s="3">
        <v>0.15</v>
      </c>
      <c r="I76" s="3" t="s">
        <v>53</v>
      </c>
      <c r="J76" s="7">
        <v>45305</v>
      </c>
      <c r="K76" s="3" t="s">
        <v>57</v>
      </c>
      <c r="L76" s="3">
        <v>0</v>
      </c>
      <c r="M76" s="3" t="s">
        <v>200</v>
      </c>
      <c r="N76" s="3" t="s">
        <v>201</v>
      </c>
      <c r="O76" s="3">
        <v>19</v>
      </c>
      <c r="P76" s="3">
        <v>483.53100000000001</v>
      </c>
      <c r="Q76" s="3" t="s">
        <v>76</v>
      </c>
      <c r="R76" s="3" t="s">
        <v>46</v>
      </c>
    </row>
    <row r="77" spans="1:18" x14ac:dyDescent="0.25">
      <c r="A77" s="2">
        <v>45134</v>
      </c>
      <c r="B77" s="3" t="s">
        <v>41</v>
      </c>
      <c r="C77" s="2">
        <v>45138</v>
      </c>
      <c r="D77" s="8">
        <v>31.3</v>
      </c>
      <c r="E77" s="3">
        <v>553.91</v>
      </c>
      <c r="F77" s="3" t="s">
        <v>52</v>
      </c>
      <c r="G77" s="3" t="s">
        <v>21</v>
      </c>
      <c r="H77" s="3">
        <v>0.1</v>
      </c>
      <c r="I77" s="3" t="s">
        <v>22</v>
      </c>
      <c r="J77" s="9">
        <v>45134</v>
      </c>
      <c r="K77" s="3" t="s">
        <v>23</v>
      </c>
      <c r="L77" s="3">
        <v>0</v>
      </c>
      <c r="M77" s="3" t="s">
        <v>202</v>
      </c>
      <c r="N77" s="3" t="s">
        <v>203</v>
      </c>
      <c r="O77" s="3">
        <v>10</v>
      </c>
      <c r="P77" s="3">
        <v>4985.1899999999996</v>
      </c>
      <c r="Q77" s="3" t="s">
        <v>37</v>
      </c>
      <c r="R77" s="3" t="s">
        <v>46</v>
      </c>
    </row>
    <row r="78" spans="1:18" x14ac:dyDescent="0.25">
      <c r="A78" s="2">
        <v>45588</v>
      </c>
      <c r="B78" s="3" t="s">
        <v>27</v>
      </c>
      <c r="C78" s="2">
        <v>45590</v>
      </c>
      <c r="D78" s="6">
        <v>14.41</v>
      </c>
      <c r="E78" s="3">
        <v>445.52</v>
      </c>
      <c r="F78" s="3" t="s">
        <v>20</v>
      </c>
      <c r="G78" s="3" t="s">
        <v>30</v>
      </c>
      <c r="H78" s="3">
        <v>0.1</v>
      </c>
      <c r="I78" s="3" t="s">
        <v>63</v>
      </c>
      <c r="J78" s="7">
        <v>45588</v>
      </c>
      <c r="K78" s="3" t="s">
        <v>23</v>
      </c>
      <c r="L78" s="3">
        <v>0</v>
      </c>
      <c r="M78" s="3" t="s">
        <v>204</v>
      </c>
      <c r="N78" s="3" t="s">
        <v>205</v>
      </c>
      <c r="O78" s="3">
        <v>14</v>
      </c>
      <c r="P78" s="3">
        <v>5613.5519999999997</v>
      </c>
      <c r="Q78" s="3" t="s">
        <v>28</v>
      </c>
      <c r="R78" s="3" t="s">
        <v>35</v>
      </c>
    </row>
    <row r="79" spans="1:18" x14ac:dyDescent="0.25">
      <c r="A79" s="2">
        <v>45195</v>
      </c>
      <c r="B79" s="3" t="s">
        <v>27</v>
      </c>
      <c r="C79" s="2">
        <v>45200</v>
      </c>
      <c r="D79" s="8">
        <v>7.87</v>
      </c>
      <c r="E79" s="3">
        <v>551.58000000000004</v>
      </c>
      <c r="F79" s="3" t="s">
        <v>20</v>
      </c>
      <c r="G79" s="3" t="s">
        <v>30</v>
      </c>
      <c r="H79" s="3">
        <v>0.15</v>
      </c>
      <c r="I79" s="3" t="s">
        <v>31</v>
      </c>
      <c r="J79" s="9">
        <v>45195</v>
      </c>
      <c r="K79" s="3" t="s">
        <v>23</v>
      </c>
      <c r="L79" s="3">
        <v>1</v>
      </c>
      <c r="M79" s="3" t="s">
        <v>206</v>
      </c>
      <c r="N79" s="3" t="s">
        <v>207</v>
      </c>
      <c r="O79" s="3">
        <v>5</v>
      </c>
      <c r="P79" s="3">
        <v>2344.2150000000001</v>
      </c>
      <c r="Q79" s="3" t="s">
        <v>42</v>
      </c>
      <c r="R79" s="3" t="s">
        <v>35</v>
      </c>
    </row>
    <row r="80" spans="1:18" x14ac:dyDescent="0.25">
      <c r="A80" s="2">
        <v>45276</v>
      </c>
      <c r="B80" s="3" t="s">
        <v>18</v>
      </c>
      <c r="C80" s="2">
        <v>45280</v>
      </c>
      <c r="D80" s="6">
        <v>49.05</v>
      </c>
      <c r="E80" s="3">
        <v>241.4</v>
      </c>
      <c r="F80" s="3" t="s">
        <v>52</v>
      </c>
      <c r="G80" s="3" t="s">
        <v>30</v>
      </c>
      <c r="H80" s="3">
        <v>0</v>
      </c>
      <c r="I80" s="3" t="s">
        <v>48</v>
      </c>
      <c r="J80" s="7">
        <v>45276</v>
      </c>
      <c r="K80" s="3" t="s">
        <v>32</v>
      </c>
      <c r="L80" s="3">
        <v>0</v>
      </c>
      <c r="M80" s="3" t="s">
        <v>208</v>
      </c>
      <c r="N80" s="3" t="s">
        <v>209</v>
      </c>
      <c r="O80" s="3">
        <v>13</v>
      </c>
      <c r="P80" s="3">
        <v>3138.2</v>
      </c>
      <c r="Q80" s="3" t="s">
        <v>28</v>
      </c>
      <c r="R80" s="3" t="s">
        <v>26</v>
      </c>
    </row>
    <row r="81" spans="1:18" x14ac:dyDescent="0.25">
      <c r="A81" s="2">
        <v>45293</v>
      </c>
      <c r="B81" s="3" t="s">
        <v>41</v>
      </c>
      <c r="C81" s="2">
        <v>45296</v>
      </c>
      <c r="D81" s="8">
        <v>39.979999999999997</v>
      </c>
      <c r="E81" s="3">
        <v>351.93</v>
      </c>
      <c r="F81" s="3" t="s">
        <v>29</v>
      </c>
      <c r="G81" s="3" t="s">
        <v>21</v>
      </c>
      <c r="H81" s="3">
        <v>0</v>
      </c>
      <c r="I81" s="3" t="s">
        <v>31</v>
      </c>
      <c r="J81" s="9">
        <v>45293</v>
      </c>
      <c r="K81" s="3" t="s">
        <v>54</v>
      </c>
      <c r="L81" s="3">
        <v>0</v>
      </c>
      <c r="M81" s="3" t="s">
        <v>210</v>
      </c>
      <c r="N81" s="3" t="s">
        <v>211</v>
      </c>
      <c r="O81" s="3">
        <v>19</v>
      </c>
      <c r="P81" s="3">
        <v>6686.67</v>
      </c>
      <c r="Q81" s="3" t="s">
        <v>127</v>
      </c>
      <c r="R81" s="3" t="s">
        <v>46</v>
      </c>
    </row>
    <row r="82" spans="1:18" x14ac:dyDescent="0.25">
      <c r="A82" s="2">
        <v>45338</v>
      </c>
      <c r="B82" s="3" t="s">
        <v>36</v>
      </c>
      <c r="C82" s="2">
        <v>45347</v>
      </c>
      <c r="D82" s="6">
        <v>38.82</v>
      </c>
      <c r="E82" s="3">
        <v>83.75</v>
      </c>
      <c r="F82" s="3" t="s">
        <v>29</v>
      </c>
      <c r="G82" s="3" t="s">
        <v>30</v>
      </c>
      <c r="H82" s="3">
        <v>0.05</v>
      </c>
      <c r="I82" s="3" t="s">
        <v>31</v>
      </c>
      <c r="J82" s="7">
        <v>45338</v>
      </c>
      <c r="K82" s="3" t="s">
        <v>57</v>
      </c>
      <c r="L82" s="3">
        <v>1</v>
      </c>
      <c r="M82" s="3" t="s">
        <v>212</v>
      </c>
      <c r="N82" s="3" t="s">
        <v>213</v>
      </c>
      <c r="O82" s="3">
        <v>4</v>
      </c>
      <c r="P82" s="3">
        <v>318.25</v>
      </c>
      <c r="Q82" s="3" t="s">
        <v>28</v>
      </c>
      <c r="R82" s="3" t="s">
        <v>40</v>
      </c>
    </row>
    <row r="83" spans="1:18" x14ac:dyDescent="0.25">
      <c r="A83" s="2">
        <v>45415</v>
      </c>
      <c r="B83" s="3" t="s">
        <v>18</v>
      </c>
      <c r="C83" s="2">
        <v>45424</v>
      </c>
      <c r="D83" s="8">
        <v>24.03</v>
      </c>
      <c r="E83" s="3">
        <v>416.95</v>
      </c>
      <c r="F83" s="3" t="s">
        <v>29</v>
      </c>
      <c r="G83" s="3" t="s">
        <v>21</v>
      </c>
      <c r="H83" s="3">
        <v>0.15</v>
      </c>
      <c r="I83" s="3" t="s">
        <v>43</v>
      </c>
      <c r="J83" s="9">
        <v>45415</v>
      </c>
      <c r="K83" s="3" t="s">
        <v>23</v>
      </c>
      <c r="L83" s="3">
        <v>1</v>
      </c>
      <c r="M83" s="3" t="s">
        <v>214</v>
      </c>
      <c r="N83" s="3" t="s">
        <v>215</v>
      </c>
      <c r="O83" s="3">
        <v>5</v>
      </c>
      <c r="P83" s="3">
        <v>1772.0374999999999</v>
      </c>
      <c r="Q83" s="3" t="s">
        <v>51</v>
      </c>
      <c r="R83" s="3" t="s">
        <v>26</v>
      </c>
    </row>
    <row r="84" spans="1:18" x14ac:dyDescent="0.25">
      <c r="A84" s="2">
        <v>45073</v>
      </c>
      <c r="B84" s="3" t="s">
        <v>66</v>
      </c>
      <c r="C84" s="2">
        <v>45079</v>
      </c>
      <c r="D84" s="6">
        <v>12.38</v>
      </c>
      <c r="E84" s="3">
        <v>142.43</v>
      </c>
      <c r="F84" s="3" t="s">
        <v>47</v>
      </c>
      <c r="G84" s="3" t="s">
        <v>30</v>
      </c>
      <c r="H84" s="3">
        <v>0.05</v>
      </c>
      <c r="I84" s="3" t="s">
        <v>63</v>
      </c>
      <c r="J84" s="7">
        <v>45073</v>
      </c>
      <c r="K84" s="3" t="s">
        <v>54</v>
      </c>
      <c r="L84" s="3">
        <v>1</v>
      </c>
      <c r="M84" s="3" t="s">
        <v>216</v>
      </c>
      <c r="N84" s="3" t="s">
        <v>217</v>
      </c>
      <c r="O84" s="3">
        <v>18</v>
      </c>
      <c r="P84" s="3">
        <v>2435.5529999999999</v>
      </c>
      <c r="Q84" s="3" t="s">
        <v>51</v>
      </c>
      <c r="R84" s="3" t="s">
        <v>69</v>
      </c>
    </row>
    <row r="85" spans="1:18" x14ac:dyDescent="0.25">
      <c r="A85" s="2">
        <v>44931</v>
      </c>
      <c r="B85" s="3" t="s">
        <v>18</v>
      </c>
      <c r="C85" s="2">
        <v>44937</v>
      </c>
      <c r="D85" s="8">
        <v>41.16</v>
      </c>
      <c r="E85" s="3">
        <v>582.52</v>
      </c>
      <c r="F85" s="3" t="s">
        <v>29</v>
      </c>
      <c r="G85" s="3" t="s">
        <v>21</v>
      </c>
      <c r="H85" s="3">
        <v>0</v>
      </c>
      <c r="I85" s="3" t="s">
        <v>63</v>
      </c>
      <c r="J85" s="9">
        <v>44931</v>
      </c>
      <c r="K85" s="3" t="s">
        <v>54</v>
      </c>
      <c r="L85" s="3">
        <v>0</v>
      </c>
      <c r="M85" s="3" t="s">
        <v>218</v>
      </c>
      <c r="N85" s="3" t="s">
        <v>219</v>
      </c>
      <c r="O85" s="3">
        <v>12</v>
      </c>
      <c r="P85" s="3">
        <v>6990.24</v>
      </c>
      <c r="Q85" s="3" t="s">
        <v>37</v>
      </c>
      <c r="R85" s="3" t="s">
        <v>26</v>
      </c>
    </row>
    <row r="86" spans="1:18" x14ac:dyDescent="0.25">
      <c r="A86" s="2">
        <v>45798</v>
      </c>
      <c r="B86" s="3" t="s">
        <v>18</v>
      </c>
      <c r="C86" s="2">
        <v>45800</v>
      </c>
      <c r="D86" s="6">
        <v>40.21</v>
      </c>
      <c r="E86" s="3">
        <v>129.56</v>
      </c>
      <c r="F86" s="3" t="s">
        <v>29</v>
      </c>
      <c r="G86" s="3" t="s">
        <v>30</v>
      </c>
      <c r="H86" s="3">
        <v>0.15</v>
      </c>
      <c r="I86" s="3" t="s">
        <v>53</v>
      </c>
      <c r="J86" s="7">
        <v>45798</v>
      </c>
      <c r="K86" s="3" t="s">
        <v>23</v>
      </c>
      <c r="L86" s="3">
        <v>0</v>
      </c>
      <c r="M86" s="3" t="s">
        <v>220</v>
      </c>
      <c r="N86" s="3" t="s">
        <v>221</v>
      </c>
      <c r="O86" s="3">
        <v>20</v>
      </c>
      <c r="P86" s="3">
        <v>2202.52</v>
      </c>
      <c r="Q86" s="3" t="s">
        <v>42</v>
      </c>
      <c r="R86" s="3" t="s">
        <v>26</v>
      </c>
    </row>
    <row r="87" spans="1:18" x14ac:dyDescent="0.25">
      <c r="A87" s="2">
        <v>45128</v>
      </c>
      <c r="B87" s="3" t="s">
        <v>41</v>
      </c>
      <c r="C87" s="2">
        <v>45132</v>
      </c>
      <c r="D87" s="8">
        <v>37.75</v>
      </c>
      <c r="E87" s="3">
        <v>431.82</v>
      </c>
      <c r="F87" s="3" t="s">
        <v>20</v>
      </c>
      <c r="G87" s="3" t="s">
        <v>30</v>
      </c>
      <c r="H87" s="3">
        <v>0</v>
      </c>
      <c r="I87" s="3" t="s">
        <v>22</v>
      </c>
      <c r="J87" s="9">
        <v>45128</v>
      </c>
      <c r="K87" s="3" t="s">
        <v>32</v>
      </c>
      <c r="L87" s="3">
        <v>1</v>
      </c>
      <c r="M87" s="3" t="s">
        <v>222</v>
      </c>
      <c r="N87" s="3" t="s">
        <v>223</v>
      </c>
      <c r="O87" s="3">
        <v>17</v>
      </c>
      <c r="P87" s="3">
        <v>7340.94</v>
      </c>
      <c r="Q87" s="3" t="s">
        <v>76</v>
      </c>
      <c r="R87" s="3" t="s">
        <v>46</v>
      </c>
    </row>
    <row r="88" spans="1:18" x14ac:dyDescent="0.25">
      <c r="A88" s="2">
        <v>45802</v>
      </c>
      <c r="B88" s="3" t="s">
        <v>18</v>
      </c>
      <c r="C88" s="2">
        <v>45811</v>
      </c>
      <c r="D88" s="6">
        <v>23.49</v>
      </c>
      <c r="E88" s="3">
        <v>15.85</v>
      </c>
      <c r="F88" s="3" t="s">
        <v>47</v>
      </c>
      <c r="G88" s="3" t="s">
        <v>30</v>
      </c>
      <c r="H88" s="3">
        <v>0</v>
      </c>
      <c r="I88" s="3" t="s">
        <v>63</v>
      </c>
      <c r="J88" s="7">
        <v>45802</v>
      </c>
      <c r="K88" s="3" t="s">
        <v>57</v>
      </c>
      <c r="L88" s="3">
        <v>0</v>
      </c>
      <c r="M88" s="3" t="s">
        <v>224</v>
      </c>
      <c r="N88" s="3" t="s">
        <v>225</v>
      </c>
      <c r="O88" s="3">
        <v>15</v>
      </c>
      <c r="P88" s="3">
        <v>237.75</v>
      </c>
      <c r="Q88" s="3" t="s">
        <v>19</v>
      </c>
      <c r="R88" s="3" t="s">
        <v>26</v>
      </c>
    </row>
    <row r="89" spans="1:18" x14ac:dyDescent="0.25">
      <c r="A89" s="2">
        <v>45612</v>
      </c>
      <c r="B89" s="3" t="s">
        <v>27</v>
      </c>
      <c r="C89" s="2">
        <v>45618</v>
      </c>
      <c r="D89" s="8">
        <v>33.47</v>
      </c>
      <c r="E89" s="3">
        <v>548.34</v>
      </c>
      <c r="F89" s="3" t="s">
        <v>20</v>
      </c>
      <c r="G89" s="3" t="s">
        <v>30</v>
      </c>
      <c r="H89" s="3">
        <v>0.1</v>
      </c>
      <c r="I89" s="3" t="s">
        <v>63</v>
      </c>
      <c r="J89" s="9">
        <v>45612</v>
      </c>
      <c r="K89" s="3" t="s">
        <v>32</v>
      </c>
      <c r="L89" s="3">
        <v>0</v>
      </c>
      <c r="M89" s="3" t="s">
        <v>226</v>
      </c>
      <c r="N89" s="3" t="s">
        <v>227</v>
      </c>
      <c r="O89" s="3">
        <v>20</v>
      </c>
      <c r="P89" s="3">
        <v>9870.1200000000008</v>
      </c>
      <c r="Q89" s="3" t="s">
        <v>76</v>
      </c>
      <c r="R89" s="3" t="s">
        <v>35</v>
      </c>
    </row>
    <row r="90" spans="1:18" x14ac:dyDescent="0.25">
      <c r="A90" s="2">
        <v>45249</v>
      </c>
      <c r="B90" s="3" t="s">
        <v>36</v>
      </c>
      <c r="C90" s="2">
        <v>45255</v>
      </c>
      <c r="D90" s="6">
        <v>36.47</v>
      </c>
      <c r="E90" s="3">
        <v>525.83000000000004</v>
      </c>
      <c r="F90" s="3" t="s">
        <v>47</v>
      </c>
      <c r="G90" s="3" t="s">
        <v>21</v>
      </c>
      <c r="H90" s="3">
        <v>0.05</v>
      </c>
      <c r="I90" s="3" t="s">
        <v>43</v>
      </c>
      <c r="J90" s="7">
        <v>45249</v>
      </c>
      <c r="K90" s="3" t="s">
        <v>23</v>
      </c>
      <c r="L90" s="3">
        <v>0</v>
      </c>
      <c r="M90" s="3" t="s">
        <v>228</v>
      </c>
      <c r="N90" s="3" t="s">
        <v>229</v>
      </c>
      <c r="O90" s="3">
        <v>16</v>
      </c>
      <c r="P90" s="3">
        <v>7992.616</v>
      </c>
      <c r="Q90" s="3" t="s">
        <v>19</v>
      </c>
      <c r="R90" s="3" t="s">
        <v>40</v>
      </c>
    </row>
    <row r="91" spans="1:18" x14ac:dyDescent="0.25">
      <c r="A91" s="2">
        <v>45669</v>
      </c>
      <c r="B91" s="3" t="s">
        <v>41</v>
      </c>
      <c r="C91" s="2">
        <v>45678</v>
      </c>
      <c r="D91" s="8">
        <v>48.51</v>
      </c>
      <c r="E91" s="3">
        <v>411.38</v>
      </c>
      <c r="F91" s="3" t="s">
        <v>29</v>
      </c>
      <c r="G91" s="3" t="s">
        <v>21</v>
      </c>
      <c r="H91" s="3">
        <v>0.05</v>
      </c>
      <c r="I91" s="3" t="s">
        <v>63</v>
      </c>
      <c r="J91" s="9">
        <v>45669</v>
      </c>
      <c r="K91" s="3" t="s">
        <v>23</v>
      </c>
      <c r="L91" s="3">
        <v>0</v>
      </c>
      <c r="M91" s="3" t="s">
        <v>230</v>
      </c>
      <c r="N91" s="3" t="s">
        <v>231</v>
      </c>
      <c r="O91" s="3">
        <v>15</v>
      </c>
      <c r="P91" s="3">
        <v>5862.165</v>
      </c>
      <c r="Q91" s="3" t="s">
        <v>19</v>
      </c>
      <c r="R91" s="3" t="s">
        <v>46</v>
      </c>
    </row>
    <row r="92" spans="1:18" x14ac:dyDescent="0.25">
      <c r="A92" s="2">
        <v>45014</v>
      </c>
      <c r="B92" s="3" t="s">
        <v>36</v>
      </c>
      <c r="C92" s="2">
        <v>45019</v>
      </c>
      <c r="D92" s="6">
        <v>18.3</v>
      </c>
      <c r="E92" s="3">
        <v>559.95000000000005</v>
      </c>
      <c r="F92" s="3" t="s">
        <v>29</v>
      </c>
      <c r="G92" s="3" t="s">
        <v>21</v>
      </c>
      <c r="H92" s="3">
        <v>0.1</v>
      </c>
      <c r="I92" s="3" t="s">
        <v>48</v>
      </c>
      <c r="J92" s="7">
        <v>45014</v>
      </c>
      <c r="K92" s="3" t="s">
        <v>54</v>
      </c>
      <c r="L92" s="3">
        <v>0</v>
      </c>
      <c r="M92" s="3" t="s">
        <v>232</v>
      </c>
      <c r="N92" s="3" t="s">
        <v>233</v>
      </c>
      <c r="O92" s="3">
        <v>19</v>
      </c>
      <c r="P92" s="3">
        <v>9575.1450000000004</v>
      </c>
      <c r="Q92" s="3" t="s">
        <v>51</v>
      </c>
      <c r="R92" s="3" t="s">
        <v>40</v>
      </c>
    </row>
    <row r="93" spans="1:18" x14ac:dyDescent="0.25">
      <c r="A93" s="2">
        <v>45717</v>
      </c>
      <c r="B93" s="3" t="s">
        <v>36</v>
      </c>
      <c r="C93" s="2">
        <v>45721</v>
      </c>
      <c r="D93" s="8">
        <v>14.8</v>
      </c>
      <c r="E93" s="3">
        <v>179.9</v>
      </c>
      <c r="F93" s="3" t="s">
        <v>47</v>
      </c>
      <c r="G93" s="3" t="s">
        <v>30</v>
      </c>
      <c r="H93" s="3">
        <v>0.05</v>
      </c>
      <c r="I93" s="3" t="s">
        <v>48</v>
      </c>
      <c r="J93" s="9">
        <v>45717</v>
      </c>
      <c r="K93" s="3" t="s">
        <v>23</v>
      </c>
      <c r="L93" s="3">
        <v>0</v>
      </c>
      <c r="M93" s="3" t="s">
        <v>234</v>
      </c>
      <c r="N93" s="3" t="s">
        <v>235</v>
      </c>
      <c r="O93" s="3">
        <v>8</v>
      </c>
      <c r="P93" s="3">
        <v>1367.24</v>
      </c>
      <c r="Q93" s="3" t="s">
        <v>37</v>
      </c>
      <c r="R93" s="3" t="s">
        <v>40</v>
      </c>
    </row>
    <row r="94" spans="1:18" x14ac:dyDescent="0.25">
      <c r="A94" s="2">
        <v>45217</v>
      </c>
      <c r="B94" s="3" t="s">
        <v>36</v>
      </c>
      <c r="C94" s="2">
        <v>45219</v>
      </c>
      <c r="D94" s="6">
        <v>18.05</v>
      </c>
      <c r="E94" s="3">
        <v>494.15</v>
      </c>
      <c r="F94" s="3" t="s">
        <v>20</v>
      </c>
      <c r="G94" s="3" t="s">
        <v>21</v>
      </c>
      <c r="H94" s="3">
        <v>0.15</v>
      </c>
      <c r="I94" s="3" t="s">
        <v>53</v>
      </c>
      <c r="J94" s="7">
        <v>45217</v>
      </c>
      <c r="K94" s="3" t="s">
        <v>23</v>
      </c>
      <c r="L94" s="3">
        <v>1</v>
      </c>
      <c r="M94" s="3" t="s">
        <v>236</v>
      </c>
      <c r="N94" s="3" t="s">
        <v>237</v>
      </c>
      <c r="O94" s="3">
        <v>12</v>
      </c>
      <c r="P94" s="3">
        <v>5040.329999999999</v>
      </c>
      <c r="Q94" s="3" t="s">
        <v>42</v>
      </c>
      <c r="R94" s="3" t="s">
        <v>40</v>
      </c>
    </row>
    <row r="95" spans="1:18" x14ac:dyDescent="0.25">
      <c r="A95" s="2">
        <v>45760</v>
      </c>
      <c r="B95" s="3" t="s">
        <v>18</v>
      </c>
      <c r="C95" s="2">
        <v>45762</v>
      </c>
      <c r="D95" s="8">
        <v>5.01</v>
      </c>
      <c r="E95" s="3">
        <v>462.99</v>
      </c>
      <c r="F95" s="3" t="s">
        <v>47</v>
      </c>
      <c r="G95" s="3" t="s">
        <v>21</v>
      </c>
      <c r="H95" s="3">
        <v>0</v>
      </c>
      <c r="I95" s="3" t="s">
        <v>63</v>
      </c>
      <c r="J95" s="9">
        <v>45760</v>
      </c>
      <c r="K95" s="3" t="s">
        <v>54</v>
      </c>
      <c r="L95" s="3">
        <v>0</v>
      </c>
      <c r="M95" s="3" t="s">
        <v>238</v>
      </c>
      <c r="N95" s="3" t="s">
        <v>239</v>
      </c>
      <c r="O95" s="3">
        <v>10</v>
      </c>
      <c r="P95" s="3">
        <v>4629.8999999999996</v>
      </c>
      <c r="Q95" s="3" t="s">
        <v>37</v>
      </c>
      <c r="R95" s="3" t="s">
        <v>26</v>
      </c>
    </row>
    <row r="96" spans="1:18" x14ac:dyDescent="0.25">
      <c r="A96" s="2">
        <v>45790</v>
      </c>
      <c r="B96" s="3" t="s">
        <v>41</v>
      </c>
      <c r="C96" s="2">
        <v>45800</v>
      </c>
      <c r="D96" s="6">
        <v>11.54</v>
      </c>
      <c r="E96" s="3">
        <v>460.24</v>
      </c>
      <c r="F96" s="3" t="s">
        <v>29</v>
      </c>
      <c r="G96" s="3" t="s">
        <v>30</v>
      </c>
      <c r="H96" s="3">
        <v>0.05</v>
      </c>
      <c r="I96" s="3" t="s">
        <v>31</v>
      </c>
      <c r="J96" s="7">
        <v>45790</v>
      </c>
      <c r="K96" s="3" t="s">
        <v>60</v>
      </c>
      <c r="L96" s="3">
        <v>1</v>
      </c>
      <c r="M96" s="3" t="s">
        <v>240</v>
      </c>
      <c r="N96" s="3" t="s">
        <v>241</v>
      </c>
      <c r="O96" s="3">
        <v>7</v>
      </c>
      <c r="P96" s="3">
        <v>3060.596</v>
      </c>
      <c r="Q96" s="3" t="s">
        <v>19</v>
      </c>
      <c r="R96" s="3" t="s">
        <v>46</v>
      </c>
    </row>
    <row r="97" spans="1:18" x14ac:dyDescent="0.25">
      <c r="A97" s="2">
        <v>45403</v>
      </c>
      <c r="B97" s="3" t="s">
        <v>66</v>
      </c>
      <c r="C97" s="2">
        <v>45409</v>
      </c>
      <c r="D97" s="8">
        <v>6.11</v>
      </c>
      <c r="E97" s="3">
        <v>309.52</v>
      </c>
      <c r="F97" s="3" t="s">
        <v>20</v>
      </c>
      <c r="G97" s="3" t="s">
        <v>21</v>
      </c>
      <c r="H97" s="3">
        <v>0.05</v>
      </c>
      <c r="I97" s="3" t="s">
        <v>22</v>
      </c>
      <c r="J97" s="9">
        <v>45403</v>
      </c>
      <c r="K97" s="3" t="s">
        <v>23</v>
      </c>
      <c r="L97" s="3">
        <v>0</v>
      </c>
      <c r="M97" s="3" t="s">
        <v>242</v>
      </c>
      <c r="N97" s="3" t="s">
        <v>243</v>
      </c>
      <c r="O97" s="3">
        <v>17</v>
      </c>
      <c r="P97" s="3">
        <v>4998.7479999999996</v>
      </c>
      <c r="Q97" s="3" t="s">
        <v>127</v>
      </c>
      <c r="R97" s="3" t="s">
        <v>69</v>
      </c>
    </row>
    <row r="98" spans="1:18" x14ac:dyDescent="0.25">
      <c r="A98" s="2">
        <v>45688</v>
      </c>
      <c r="B98" s="3" t="s">
        <v>41</v>
      </c>
      <c r="C98" s="2">
        <v>45696</v>
      </c>
      <c r="D98" s="6">
        <v>27.48</v>
      </c>
      <c r="E98" s="3">
        <v>323.83</v>
      </c>
      <c r="F98" s="3" t="s">
        <v>20</v>
      </c>
      <c r="G98" s="3" t="s">
        <v>21</v>
      </c>
      <c r="H98" s="3">
        <v>0.05</v>
      </c>
      <c r="I98" s="3" t="s">
        <v>22</v>
      </c>
      <c r="J98" s="7">
        <v>45688</v>
      </c>
      <c r="K98" s="3" t="s">
        <v>54</v>
      </c>
      <c r="L98" s="3">
        <v>0</v>
      </c>
      <c r="M98" s="3" t="s">
        <v>244</v>
      </c>
      <c r="N98" s="3" t="s">
        <v>245</v>
      </c>
      <c r="O98" s="3">
        <v>1</v>
      </c>
      <c r="P98" s="3">
        <v>307.63850000000002</v>
      </c>
      <c r="Q98" s="3" t="s">
        <v>51</v>
      </c>
      <c r="R98" s="3" t="s">
        <v>46</v>
      </c>
    </row>
    <row r="99" spans="1:18" x14ac:dyDescent="0.25">
      <c r="A99" s="2">
        <v>45730</v>
      </c>
      <c r="B99" s="3" t="s">
        <v>41</v>
      </c>
      <c r="C99" s="2">
        <v>45735</v>
      </c>
      <c r="D99" s="8">
        <v>44.61</v>
      </c>
      <c r="E99" s="3">
        <v>503.07</v>
      </c>
      <c r="F99" s="3" t="s">
        <v>47</v>
      </c>
      <c r="G99" s="3" t="s">
        <v>30</v>
      </c>
      <c r="H99" s="3">
        <v>0</v>
      </c>
      <c r="I99" s="3" t="s">
        <v>63</v>
      </c>
      <c r="J99" s="9">
        <v>45730</v>
      </c>
      <c r="K99" s="3" t="s">
        <v>54</v>
      </c>
      <c r="L99" s="3">
        <v>0</v>
      </c>
      <c r="M99" s="3" t="s">
        <v>246</v>
      </c>
      <c r="N99" s="3" t="s">
        <v>247</v>
      </c>
      <c r="O99" s="3">
        <v>10</v>
      </c>
      <c r="P99" s="3">
        <v>5030.7</v>
      </c>
      <c r="Q99" s="3" t="s">
        <v>42</v>
      </c>
      <c r="R99" s="3" t="s">
        <v>46</v>
      </c>
    </row>
    <row r="100" spans="1:18" x14ac:dyDescent="0.25">
      <c r="A100" s="2">
        <v>45438</v>
      </c>
      <c r="B100" s="3" t="s">
        <v>66</v>
      </c>
      <c r="C100" s="2">
        <v>45441</v>
      </c>
      <c r="D100" s="6">
        <v>43.46</v>
      </c>
      <c r="E100" s="3">
        <v>491.68</v>
      </c>
      <c r="F100" s="3" t="s">
        <v>52</v>
      </c>
      <c r="G100" s="3" t="s">
        <v>21</v>
      </c>
      <c r="H100" s="3">
        <v>0.15</v>
      </c>
      <c r="I100" s="3" t="s">
        <v>31</v>
      </c>
      <c r="J100" s="7">
        <v>45438</v>
      </c>
      <c r="K100" s="3" t="s">
        <v>23</v>
      </c>
      <c r="L100" s="3">
        <v>1</v>
      </c>
      <c r="M100" s="3" t="s">
        <v>248</v>
      </c>
      <c r="N100" s="3" t="s">
        <v>249</v>
      </c>
      <c r="O100" s="3">
        <v>20</v>
      </c>
      <c r="P100" s="3">
        <v>8358.56</v>
      </c>
      <c r="Q100" s="3" t="s">
        <v>19</v>
      </c>
      <c r="R100" s="3" t="s">
        <v>69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
  <sheetViews>
    <sheetView workbookViewId="0">
      <selection activeCell="E15" sqref="E15"/>
    </sheetView>
  </sheetViews>
  <sheetFormatPr defaultRowHeight="15" x14ac:dyDescent="0.25"/>
  <cols>
    <col min="1" max="1" width="10.28515625" bestFit="1" customWidth="1"/>
    <col min="2" max="2" width="9.28515625" bestFit="1" customWidth="1"/>
    <col min="3" max="3" width="8.7109375" bestFit="1" customWidth="1"/>
    <col min="4" max="4" width="9.85546875" bestFit="1" customWidth="1"/>
    <col min="6" max="6" width="15" bestFit="1" customWidth="1"/>
    <col min="7" max="7" width="10.42578125" bestFit="1" customWidth="1"/>
    <col min="10" max="10" width="9.85546875" bestFit="1" customWidth="1"/>
  </cols>
  <sheetData>
    <row r="1" spans="1:10" x14ac:dyDescent="0.25">
      <c r="A1" s="22" t="s">
        <v>250</v>
      </c>
      <c r="B1" s="23"/>
      <c r="C1" s="23"/>
      <c r="D1" s="24"/>
      <c r="F1" s="22" t="s">
        <v>266</v>
      </c>
      <c r="G1" s="24"/>
      <c r="I1" s="25" t="s">
        <v>268</v>
      </c>
      <c r="J1" s="25"/>
    </row>
    <row r="2" spans="1:10" x14ac:dyDescent="0.25">
      <c r="A2" s="16" t="s">
        <v>12</v>
      </c>
      <c r="B2" s="11" t="s">
        <v>2</v>
      </c>
      <c r="C2" s="11" t="s">
        <v>3</v>
      </c>
      <c r="D2" s="13" t="s">
        <v>9</v>
      </c>
      <c r="F2" s="18" t="s">
        <v>267</v>
      </c>
      <c r="G2" s="19">
        <f>MAX(Table1[OrderDate])</f>
        <v>45828</v>
      </c>
      <c r="I2" s="6">
        <v>2290.4</v>
      </c>
      <c r="J2" s="15" t="str">
        <f>IF(I2&gt;2000,"High Price","Low Price")</f>
        <v>High Price</v>
      </c>
    </row>
    <row r="3" spans="1:10" x14ac:dyDescent="0.25">
      <c r="A3" s="16" t="s">
        <v>61</v>
      </c>
      <c r="B3" s="11" t="str">
        <f>VLOOKUP(A3,Sheet2!M:R,5,FALSE)</f>
        <v>Chair</v>
      </c>
      <c r="C3" s="11">
        <f>VLOOKUP(A3,Sheet2!M:R,3,0)</f>
        <v>3</v>
      </c>
      <c r="D3" s="13">
        <f>VLOOKUP(A3,Sheet2!M:R,4,FALSE)</f>
        <v>842.06100000000004</v>
      </c>
      <c r="F3" s="18" t="s">
        <v>12</v>
      </c>
      <c r="G3" s="19" t="str">
        <f>INDEX(Sheet2!M:M, MATCH(MAX(Sheet2!J:J), Sheet2!J:J, 0))</f>
        <v>REG100037</v>
      </c>
      <c r="I3" s="10">
        <v>544.01</v>
      </c>
      <c r="J3" s="15" t="str">
        <f t="shared" ref="J3:J66" si="0">IF(I3&gt;2000,"High Price","Low Price")</f>
        <v>Low Price</v>
      </c>
    </row>
    <row r="4" spans="1:10" x14ac:dyDescent="0.25">
      <c r="A4" s="16" t="s">
        <v>101</v>
      </c>
      <c r="B4" s="11" t="str">
        <f>VLOOKUP(A4,Sheet2!M:R,5,FALSE)</f>
        <v>Phone</v>
      </c>
      <c r="C4" s="11">
        <f>VLOOKUP(A4,Sheet2!M:R,3,0)</f>
        <v>13</v>
      </c>
      <c r="D4" s="13">
        <f>VLOOKUP(A4,Sheet2!M:R,4,FALSE)</f>
        <v>7309.77</v>
      </c>
      <c r="F4" s="20" t="s">
        <v>13</v>
      </c>
      <c r="G4" s="21" t="str">
        <f>INDEX(Sheet2!N:N, MATCH(MAX(Sheet2!J:J), Sheet2!J:J, 0))</f>
        <v>Cust 3787</v>
      </c>
      <c r="I4" s="6">
        <v>4361.8680000000004</v>
      </c>
      <c r="J4" s="15" t="str">
        <f t="shared" si="0"/>
        <v>High Price</v>
      </c>
    </row>
    <row r="5" spans="1:10" x14ac:dyDescent="0.25">
      <c r="A5" s="17" t="s">
        <v>85</v>
      </c>
      <c r="B5" s="12" t="str">
        <f>VLOOKUP(A5,Sheet2!M:R,5,FALSE)</f>
        <v>Desk</v>
      </c>
      <c r="C5" s="12">
        <f>VLOOKUP(A5,Sheet2!M:R,3,0)</f>
        <v>11</v>
      </c>
      <c r="D5" s="14">
        <f>VLOOKUP(A5,Sheet2!M:R,4,FALSE)</f>
        <v>5989.3130000000001</v>
      </c>
      <c r="I5" s="10">
        <v>5887.7460000000001</v>
      </c>
      <c r="J5" s="15" t="str">
        <f t="shared" si="0"/>
        <v>High Price</v>
      </c>
    </row>
    <row r="6" spans="1:10" x14ac:dyDescent="0.25">
      <c r="I6" s="6">
        <v>4279.68</v>
      </c>
      <c r="J6" s="15" t="str">
        <f t="shared" si="0"/>
        <v>High Price</v>
      </c>
    </row>
    <row r="7" spans="1:10" x14ac:dyDescent="0.25">
      <c r="I7" s="10">
        <v>654.65299999999991</v>
      </c>
      <c r="J7" s="15" t="str">
        <f t="shared" si="0"/>
        <v>Low Price</v>
      </c>
    </row>
    <row r="8" spans="1:10" x14ac:dyDescent="0.25">
      <c r="I8" s="6">
        <v>110.25</v>
      </c>
      <c r="J8" s="15" t="str">
        <f t="shared" si="0"/>
        <v>Low Price</v>
      </c>
    </row>
    <row r="9" spans="1:10" x14ac:dyDescent="0.25">
      <c r="I9" s="10">
        <v>842.06100000000004</v>
      </c>
      <c r="J9" s="15" t="str">
        <f t="shared" si="0"/>
        <v>Low Price</v>
      </c>
    </row>
    <row r="10" spans="1:10" x14ac:dyDescent="0.25">
      <c r="I10" s="6">
        <v>1231.3140000000001</v>
      </c>
      <c r="J10" s="15" t="str">
        <f t="shared" si="0"/>
        <v>Low Price</v>
      </c>
    </row>
    <row r="11" spans="1:10" x14ac:dyDescent="0.25">
      <c r="I11" s="10">
        <v>1454.76</v>
      </c>
      <c r="J11" s="15" t="str">
        <f t="shared" si="0"/>
        <v>Low Price</v>
      </c>
    </row>
    <row r="12" spans="1:10" x14ac:dyDescent="0.25">
      <c r="I12" s="6">
        <v>6671.9474999999993</v>
      </c>
      <c r="J12" s="15" t="str">
        <f t="shared" si="0"/>
        <v>High Price</v>
      </c>
    </row>
    <row r="13" spans="1:10" x14ac:dyDescent="0.25">
      <c r="I13" s="10">
        <v>3545.6849999999999</v>
      </c>
      <c r="J13" s="15" t="str">
        <f t="shared" si="0"/>
        <v>High Price</v>
      </c>
    </row>
    <row r="14" spans="1:10" x14ac:dyDescent="0.25">
      <c r="I14" s="6">
        <v>114.5035</v>
      </c>
      <c r="J14" s="15" t="str">
        <f t="shared" si="0"/>
        <v>Low Price</v>
      </c>
    </row>
    <row r="15" spans="1:10" x14ac:dyDescent="0.25">
      <c r="I15" s="10">
        <v>134.15549999999999</v>
      </c>
      <c r="J15" s="15" t="str">
        <f t="shared" si="0"/>
        <v>Low Price</v>
      </c>
    </row>
    <row r="16" spans="1:10" x14ac:dyDescent="0.25">
      <c r="I16" s="6">
        <v>2808.8249999999998</v>
      </c>
      <c r="J16" s="15" t="str">
        <f t="shared" si="0"/>
        <v>High Price</v>
      </c>
    </row>
    <row r="17" spans="9:10" x14ac:dyDescent="0.25">
      <c r="I17" s="10">
        <v>2631.8040000000001</v>
      </c>
      <c r="J17" s="15" t="str">
        <f t="shared" si="0"/>
        <v>High Price</v>
      </c>
    </row>
    <row r="18" spans="9:10" x14ac:dyDescent="0.25">
      <c r="I18" s="6">
        <v>4486.09</v>
      </c>
      <c r="J18" s="15" t="str">
        <f t="shared" si="0"/>
        <v>High Price</v>
      </c>
    </row>
    <row r="19" spans="9:10" x14ac:dyDescent="0.25">
      <c r="I19" s="10">
        <v>5989.3130000000001</v>
      </c>
      <c r="J19" s="15" t="str">
        <f t="shared" si="0"/>
        <v>High Price</v>
      </c>
    </row>
    <row r="20" spans="9:10" x14ac:dyDescent="0.25">
      <c r="I20" s="6">
        <v>8823.6799999999985</v>
      </c>
      <c r="J20" s="15" t="str">
        <f t="shared" si="0"/>
        <v>High Price</v>
      </c>
    </row>
    <row r="21" spans="9:10" x14ac:dyDescent="0.25">
      <c r="I21" s="10">
        <v>431.62</v>
      </c>
      <c r="J21" s="15" t="str">
        <f t="shared" si="0"/>
        <v>Low Price</v>
      </c>
    </row>
    <row r="22" spans="9:10" x14ac:dyDescent="0.25">
      <c r="I22" s="6">
        <v>3190.5</v>
      </c>
      <c r="J22" s="15" t="str">
        <f t="shared" si="0"/>
        <v>High Price</v>
      </c>
    </row>
    <row r="23" spans="9:10" x14ac:dyDescent="0.25">
      <c r="I23" s="10">
        <v>4160.107</v>
      </c>
      <c r="J23" s="15" t="str">
        <f t="shared" si="0"/>
        <v>High Price</v>
      </c>
    </row>
    <row r="24" spans="9:10" x14ac:dyDescent="0.25">
      <c r="I24" s="6">
        <v>5536.3</v>
      </c>
      <c r="J24" s="15" t="str">
        <f t="shared" si="0"/>
        <v>High Price</v>
      </c>
    </row>
    <row r="25" spans="9:10" x14ac:dyDescent="0.25">
      <c r="I25" s="10">
        <v>4821.7440000000006</v>
      </c>
      <c r="J25" s="15" t="str">
        <f t="shared" si="0"/>
        <v>High Price</v>
      </c>
    </row>
    <row r="26" spans="9:10" x14ac:dyDescent="0.25">
      <c r="I26" s="6">
        <v>1440.05</v>
      </c>
      <c r="J26" s="15" t="str">
        <f t="shared" si="0"/>
        <v>Low Price</v>
      </c>
    </row>
    <row r="27" spans="9:10" x14ac:dyDescent="0.25">
      <c r="I27" s="10">
        <v>7309.77</v>
      </c>
      <c r="J27" s="15" t="str">
        <f t="shared" si="0"/>
        <v>High Price</v>
      </c>
    </row>
    <row r="28" spans="9:10" x14ac:dyDescent="0.25">
      <c r="I28" s="6">
        <v>101.73</v>
      </c>
      <c r="J28" s="15" t="str">
        <f t="shared" si="0"/>
        <v>Low Price</v>
      </c>
    </row>
    <row r="29" spans="9:10" x14ac:dyDescent="0.25">
      <c r="I29" s="10">
        <v>1117.96</v>
      </c>
      <c r="J29" s="15" t="str">
        <f t="shared" si="0"/>
        <v>Low Price</v>
      </c>
    </row>
    <row r="30" spans="9:10" x14ac:dyDescent="0.25">
      <c r="I30" s="6">
        <v>151.76750000000001</v>
      </c>
      <c r="J30" s="15" t="str">
        <f t="shared" si="0"/>
        <v>Low Price</v>
      </c>
    </row>
    <row r="31" spans="9:10" x14ac:dyDescent="0.25">
      <c r="I31" s="10">
        <v>424.863</v>
      </c>
      <c r="J31" s="15" t="str">
        <f t="shared" si="0"/>
        <v>Low Price</v>
      </c>
    </row>
    <row r="32" spans="9:10" x14ac:dyDescent="0.25">
      <c r="I32" s="6">
        <v>3675.48</v>
      </c>
      <c r="J32" s="15" t="str">
        <f t="shared" si="0"/>
        <v>High Price</v>
      </c>
    </row>
    <row r="33" spans="9:10" x14ac:dyDescent="0.25">
      <c r="I33" s="10">
        <v>2586.8815</v>
      </c>
      <c r="J33" s="15" t="str">
        <f t="shared" si="0"/>
        <v>High Price</v>
      </c>
    </row>
    <row r="34" spans="9:10" x14ac:dyDescent="0.25">
      <c r="I34" s="6">
        <v>389.88</v>
      </c>
      <c r="J34" s="15" t="str">
        <f t="shared" si="0"/>
        <v>Low Price</v>
      </c>
    </row>
    <row r="35" spans="9:10" x14ac:dyDescent="0.25">
      <c r="I35" s="10">
        <v>8100.33</v>
      </c>
      <c r="J35" s="15" t="str">
        <f t="shared" si="0"/>
        <v>High Price</v>
      </c>
    </row>
    <row r="36" spans="9:10" x14ac:dyDescent="0.25">
      <c r="I36" s="6">
        <v>1903.048</v>
      </c>
      <c r="J36" s="15" t="str">
        <f t="shared" si="0"/>
        <v>Low Price</v>
      </c>
    </row>
    <row r="37" spans="9:10" x14ac:dyDescent="0.25">
      <c r="I37" s="10">
        <v>1149.96</v>
      </c>
      <c r="J37" s="15" t="str">
        <f t="shared" si="0"/>
        <v>Low Price</v>
      </c>
    </row>
    <row r="38" spans="9:10" x14ac:dyDescent="0.25">
      <c r="I38" s="6">
        <v>2934.4454999999998</v>
      </c>
      <c r="J38" s="15" t="str">
        <f t="shared" si="0"/>
        <v>High Price</v>
      </c>
    </row>
    <row r="39" spans="9:10" x14ac:dyDescent="0.25">
      <c r="I39" s="10">
        <v>1791.0094999999999</v>
      </c>
      <c r="J39" s="15" t="str">
        <f t="shared" si="0"/>
        <v>Low Price</v>
      </c>
    </row>
    <row r="40" spans="9:10" x14ac:dyDescent="0.25">
      <c r="I40" s="6">
        <v>5394.4380000000001</v>
      </c>
      <c r="J40" s="15" t="str">
        <f t="shared" si="0"/>
        <v>High Price</v>
      </c>
    </row>
    <row r="41" spans="9:10" x14ac:dyDescent="0.25">
      <c r="I41" s="10">
        <v>855.57599999999991</v>
      </c>
      <c r="J41" s="15" t="str">
        <f t="shared" si="0"/>
        <v>Low Price</v>
      </c>
    </row>
    <row r="42" spans="9:10" x14ac:dyDescent="0.25">
      <c r="I42" s="6">
        <v>2116.44</v>
      </c>
      <c r="J42" s="15" t="str">
        <f t="shared" si="0"/>
        <v>High Price</v>
      </c>
    </row>
    <row r="43" spans="9:10" x14ac:dyDescent="0.25">
      <c r="I43" s="10">
        <v>1238.23</v>
      </c>
      <c r="J43" s="15" t="str">
        <f t="shared" si="0"/>
        <v>Low Price</v>
      </c>
    </row>
    <row r="44" spans="9:10" x14ac:dyDescent="0.25">
      <c r="I44" s="6">
        <v>434.04</v>
      </c>
      <c r="J44" s="15" t="str">
        <f t="shared" si="0"/>
        <v>Low Price</v>
      </c>
    </row>
    <row r="45" spans="9:10" x14ac:dyDescent="0.25">
      <c r="I45" s="10">
        <v>1561.654</v>
      </c>
      <c r="J45" s="15" t="str">
        <f t="shared" si="0"/>
        <v>Low Price</v>
      </c>
    </row>
    <row r="46" spans="9:10" x14ac:dyDescent="0.25">
      <c r="I46" s="6">
        <v>790.51400000000001</v>
      </c>
      <c r="J46" s="15" t="str">
        <f t="shared" si="0"/>
        <v>Low Price</v>
      </c>
    </row>
    <row r="47" spans="9:10" x14ac:dyDescent="0.25">
      <c r="I47" s="10">
        <v>4841.28</v>
      </c>
      <c r="J47" s="15" t="str">
        <f t="shared" si="0"/>
        <v>High Price</v>
      </c>
    </row>
    <row r="48" spans="9:10" x14ac:dyDescent="0.25">
      <c r="I48" s="6">
        <v>309.76549999999997</v>
      </c>
      <c r="J48" s="15" t="str">
        <f t="shared" si="0"/>
        <v>Low Price</v>
      </c>
    </row>
    <row r="49" spans="9:10" x14ac:dyDescent="0.25">
      <c r="I49" s="10">
        <v>3961.136</v>
      </c>
      <c r="J49" s="15" t="str">
        <f t="shared" si="0"/>
        <v>High Price</v>
      </c>
    </row>
    <row r="50" spans="9:10" x14ac:dyDescent="0.25">
      <c r="I50" s="6">
        <v>743.17500000000007</v>
      </c>
      <c r="J50" s="15" t="str">
        <f t="shared" si="0"/>
        <v>Low Price</v>
      </c>
    </row>
    <row r="51" spans="9:10" x14ac:dyDescent="0.25">
      <c r="I51" s="10">
        <v>2889.558</v>
      </c>
      <c r="J51" s="15" t="str">
        <f t="shared" si="0"/>
        <v>High Price</v>
      </c>
    </row>
    <row r="52" spans="9:10" x14ac:dyDescent="0.25">
      <c r="I52" s="6">
        <v>772.08299999999997</v>
      </c>
      <c r="J52" s="15" t="str">
        <f t="shared" si="0"/>
        <v>Low Price</v>
      </c>
    </row>
    <row r="53" spans="9:10" x14ac:dyDescent="0.25">
      <c r="I53" s="10">
        <v>503.38</v>
      </c>
      <c r="J53" s="15" t="str">
        <f t="shared" si="0"/>
        <v>Low Price</v>
      </c>
    </row>
    <row r="54" spans="9:10" x14ac:dyDescent="0.25">
      <c r="I54" s="6">
        <v>242.46899999999999</v>
      </c>
      <c r="J54" s="15" t="str">
        <f t="shared" si="0"/>
        <v>Low Price</v>
      </c>
    </row>
    <row r="55" spans="9:10" x14ac:dyDescent="0.25">
      <c r="I55" s="10">
        <v>705.47</v>
      </c>
      <c r="J55" s="15" t="str">
        <f t="shared" si="0"/>
        <v>Low Price</v>
      </c>
    </row>
    <row r="56" spans="9:10" x14ac:dyDescent="0.25">
      <c r="I56" s="6">
        <v>2695.0439999999999</v>
      </c>
      <c r="J56" s="15" t="str">
        <f t="shared" si="0"/>
        <v>High Price</v>
      </c>
    </row>
    <row r="57" spans="9:10" x14ac:dyDescent="0.25">
      <c r="I57" s="10">
        <v>2432.2375000000002</v>
      </c>
      <c r="J57" s="15" t="str">
        <f t="shared" si="0"/>
        <v>High Price</v>
      </c>
    </row>
    <row r="58" spans="9:10" x14ac:dyDescent="0.25">
      <c r="I58" s="6">
        <v>2113.7460000000001</v>
      </c>
      <c r="J58" s="15" t="str">
        <f t="shared" si="0"/>
        <v>High Price</v>
      </c>
    </row>
    <row r="59" spans="9:10" x14ac:dyDescent="0.25">
      <c r="I59" s="10">
        <v>451.71</v>
      </c>
      <c r="J59" s="15" t="str">
        <f t="shared" si="0"/>
        <v>Low Price</v>
      </c>
    </row>
    <row r="60" spans="9:10" x14ac:dyDescent="0.25">
      <c r="I60" s="6">
        <v>3923.766000000001</v>
      </c>
      <c r="J60" s="15" t="str">
        <f t="shared" si="0"/>
        <v>High Price</v>
      </c>
    </row>
    <row r="61" spans="9:10" x14ac:dyDescent="0.25">
      <c r="I61" s="10">
        <v>5418.8190000000004</v>
      </c>
      <c r="J61" s="15" t="str">
        <f t="shared" si="0"/>
        <v>High Price</v>
      </c>
    </row>
    <row r="62" spans="9:10" x14ac:dyDescent="0.25">
      <c r="I62" s="6">
        <v>5016.0200000000004</v>
      </c>
      <c r="J62" s="15" t="str">
        <f t="shared" si="0"/>
        <v>High Price</v>
      </c>
    </row>
    <row r="63" spans="9:10" x14ac:dyDescent="0.25">
      <c r="I63" s="10">
        <v>2413.44</v>
      </c>
      <c r="J63" s="15" t="str">
        <f t="shared" si="0"/>
        <v>High Price</v>
      </c>
    </row>
    <row r="64" spans="9:10" x14ac:dyDescent="0.25">
      <c r="I64" s="6">
        <v>1283.5530000000001</v>
      </c>
      <c r="J64" s="15" t="str">
        <f t="shared" si="0"/>
        <v>Low Price</v>
      </c>
    </row>
    <row r="65" spans="9:10" x14ac:dyDescent="0.25">
      <c r="I65" s="10">
        <v>642.6</v>
      </c>
      <c r="J65" s="15" t="str">
        <f t="shared" si="0"/>
        <v>Low Price</v>
      </c>
    </row>
    <row r="66" spans="9:10" x14ac:dyDescent="0.25">
      <c r="I66" s="6">
        <v>7667.55</v>
      </c>
      <c r="J66" s="15" t="str">
        <f t="shared" si="0"/>
        <v>High Price</v>
      </c>
    </row>
    <row r="67" spans="9:10" x14ac:dyDescent="0.25">
      <c r="I67" s="10">
        <v>179.76599999999999</v>
      </c>
      <c r="J67" s="15" t="str">
        <f t="shared" ref="J67:J100" si="1">IF(I67&gt;2000,"High Price","Low Price")</f>
        <v>Low Price</v>
      </c>
    </row>
    <row r="68" spans="9:10" x14ac:dyDescent="0.25">
      <c r="I68" s="6">
        <v>2329.9699999999998</v>
      </c>
      <c r="J68" s="15" t="str">
        <f t="shared" si="1"/>
        <v>High Price</v>
      </c>
    </row>
    <row r="69" spans="9:10" x14ac:dyDescent="0.25">
      <c r="I69" s="10">
        <v>3085.2959999999998</v>
      </c>
      <c r="J69" s="15" t="str">
        <f t="shared" si="1"/>
        <v>High Price</v>
      </c>
    </row>
    <row r="70" spans="9:10" x14ac:dyDescent="0.25">
      <c r="I70" s="6">
        <v>143.46899999999999</v>
      </c>
      <c r="J70" s="15" t="str">
        <f t="shared" si="1"/>
        <v>Low Price</v>
      </c>
    </row>
    <row r="71" spans="9:10" x14ac:dyDescent="0.25">
      <c r="I71" s="10">
        <v>523.46400000000006</v>
      </c>
      <c r="J71" s="15" t="str">
        <f t="shared" si="1"/>
        <v>Low Price</v>
      </c>
    </row>
    <row r="72" spans="9:10" x14ac:dyDescent="0.25">
      <c r="I72" s="6">
        <v>4186.59</v>
      </c>
      <c r="J72" s="15" t="str">
        <f t="shared" si="1"/>
        <v>High Price</v>
      </c>
    </row>
    <row r="73" spans="9:10" x14ac:dyDescent="0.25">
      <c r="I73" s="10">
        <v>9864.18</v>
      </c>
      <c r="J73" s="15" t="str">
        <f t="shared" si="1"/>
        <v>High Price</v>
      </c>
    </row>
    <row r="74" spans="9:10" x14ac:dyDescent="0.25">
      <c r="I74" s="6">
        <v>5982.9575000000004</v>
      </c>
      <c r="J74" s="15" t="str">
        <f t="shared" si="1"/>
        <v>High Price</v>
      </c>
    </row>
    <row r="75" spans="9:10" x14ac:dyDescent="0.25">
      <c r="I75" s="10">
        <v>2418.6239999999998</v>
      </c>
      <c r="J75" s="15" t="str">
        <f t="shared" si="1"/>
        <v>High Price</v>
      </c>
    </row>
    <row r="76" spans="9:10" x14ac:dyDescent="0.25">
      <c r="I76" s="6">
        <v>483.53100000000001</v>
      </c>
      <c r="J76" s="15" t="str">
        <f t="shared" si="1"/>
        <v>Low Price</v>
      </c>
    </row>
    <row r="77" spans="9:10" x14ac:dyDescent="0.25">
      <c r="I77" s="10">
        <v>4985.1899999999996</v>
      </c>
      <c r="J77" s="15" t="str">
        <f t="shared" si="1"/>
        <v>High Price</v>
      </c>
    </row>
    <row r="78" spans="9:10" x14ac:dyDescent="0.25">
      <c r="I78" s="6">
        <v>5613.5519999999997</v>
      </c>
      <c r="J78" s="15" t="str">
        <f t="shared" si="1"/>
        <v>High Price</v>
      </c>
    </row>
    <row r="79" spans="9:10" x14ac:dyDescent="0.25">
      <c r="I79" s="10">
        <v>2344.2150000000001</v>
      </c>
      <c r="J79" s="15" t="str">
        <f t="shared" si="1"/>
        <v>High Price</v>
      </c>
    </row>
    <row r="80" spans="9:10" x14ac:dyDescent="0.25">
      <c r="I80" s="6">
        <v>3138.2</v>
      </c>
      <c r="J80" s="15" t="str">
        <f t="shared" si="1"/>
        <v>High Price</v>
      </c>
    </row>
    <row r="81" spans="9:10" x14ac:dyDescent="0.25">
      <c r="I81" s="10">
        <v>6686.67</v>
      </c>
      <c r="J81" s="15" t="str">
        <f t="shared" si="1"/>
        <v>High Price</v>
      </c>
    </row>
    <row r="82" spans="9:10" x14ac:dyDescent="0.25">
      <c r="I82" s="6">
        <v>318.25</v>
      </c>
      <c r="J82" s="15" t="str">
        <f t="shared" si="1"/>
        <v>Low Price</v>
      </c>
    </row>
    <row r="83" spans="9:10" x14ac:dyDescent="0.25">
      <c r="I83" s="10">
        <v>1772.0374999999999</v>
      </c>
      <c r="J83" s="15" t="str">
        <f t="shared" si="1"/>
        <v>Low Price</v>
      </c>
    </row>
    <row r="84" spans="9:10" x14ac:dyDescent="0.25">
      <c r="I84" s="6">
        <v>2435.5529999999999</v>
      </c>
      <c r="J84" s="15" t="str">
        <f t="shared" si="1"/>
        <v>High Price</v>
      </c>
    </row>
    <row r="85" spans="9:10" x14ac:dyDescent="0.25">
      <c r="I85" s="10">
        <v>6990.24</v>
      </c>
      <c r="J85" s="15" t="str">
        <f t="shared" si="1"/>
        <v>High Price</v>
      </c>
    </row>
    <row r="86" spans="9:10" x14ac:dyDescent="0.25">
      <c r="I86" s="6">
        <v>2202.52</v>
      </c>
      <c r="J86" s="15" t="str">
        <f t="shared" si="1"/>
        <v>High Price</v>
      </c>
    </row>
    <row r="87" spans="9:10" x14ac:dyDescent="0.25">
      <c r="I87" s="10">
        <v>7340.94</v>
      </c>
      <c r="J87" s="15" t="str">
        <f t="shared" si="1"/>
        <v>High Price</v>
      </c>
    </row>
    <row r="88" spans="9:10" x14ac:dyDescent="0.25">
      <c r="I88" s="6">
        <v>237.75</v>
      </c>
      <c r="J88" s="15" t="str">
        <f t="shared" si="1"/>
        <v>Low Price</v>
      </c>
    </row>
    <row r="89" spans="9:10" x14ac:dyDescent="0.25">
      <c r="I89" s="10">
        <v>9870.1200000000008</v>
      </c>
      <c r="J89" s="15" t="str">
        <f t="shared" si="1"/>
        <v>High Price</v>
      </c>
    </row>
    <row r="90" spans="9:10" x14ac:dyDescent="0.25">
      <c r="I90" s="6">
        <v>7992.616</v>
      </c>
      <c r="J90" s="15" t="str">
        <f t="shared" si="1"/>
        <v>High Price</v>
      </c>
    </row>
    <row r="91" spans="9:10" x14ac:dyDescent="0.25">
      <c r="I91" s="10">
        <v>5862.165</v>
      </c>
      <c r="J91" s="15" t="str">
        <f t="shared" si="1"/>
        <v>High Price</v>
      </c>
    </row>
    <row r="92" spans="9:10" x14ac:dyDescent="0.25">
      <c r="I92" s="6">
        <v>9575.1450000000004</v>
      </c>
      <c r="J92" s="15" t="str">
        <f t="shared" si="1"/>
        <v>High Price</v>
      </c>
    </row>
    <row r="93" spans="9:10" x14ac:dyDescent="0.25">
      <c r="I93" s="10">
        <v>1367.24</v>
      </c>
      <c r="J93" s="15" t="str">
        <f t="shared" si="1"/>
        <v>Low Price</v>
      </c>
    </row>
    <row r="94" spans="9:10" x14ac:dyDescent="0.25">
      <c r="I94" s="6">
        <v>5040.329999999999</v>
      </c>
      <c r="J94" s="15" t="str">
        <f t="shared" si="1"/>
        <v>High Price</v>
      </c>
    </row>
    <row r="95" spans="9:10" x14ac:dyDescent="0.25">
      <c r="I95" s="10">
        <v>4629.8999999999996</v>
      </c>
      <c r="J95" s="15" t="str">
        <f t="shared" si="1"/>
        <v>High Price</v>
      </c>
    </row>
    <row r="96" spans="9:10" x14ac:dyDescent="0.25">
      <c r="I96" s="6">
        <v>3060.596</v>
      </c>
      <c r="J96" s="15" t="str">
        <f t="shared" si="1"/>
        <v>High Price</v>
      </c>
    </row>
    <row r="97" spans="9:10" x14ac:dyDescent="0.25">
      <c r="I97" s="10">
        <v>4998.7479999999996</v>
      </c>
      <c r="J97" s="15" t="str">
        <f t="shared" si="1"/>
        <v>High Price</v>
      </c>
    </row>
    <row r="98" spans="9:10" x14ac:dyDescent="0.25">
      <c r="I98" s="6">
        <v>307.63850000000002</v>
      </c>
      <c r="J98" s="15" t="str">
        <f t="shared" si="1"/>
        <v>Low Price</v>
      </c>
    </row>
    <row r="99" spans="9:10" x14ac:dyDescent="0.25">
      <c r="I99" s="10">
        <v>5030.7</v>
      </c>
      <c r="J99" s="15" t="str">
        <f t="shared" si="1"/>
        <v>High Price</v>
      </c>
    </row>
    <row r="100" spans="9:10" x14ac:dyDescent="0.25">
      <c r="I100" s="6">
        <v>8358.56</v>
      </c>
      <c r="J100" s="15" t="str">
        <f t="shared" si="1"/>
        <v>High Price</v>
      </c>
    </row>
  </sheetData>
  <mergeCells count="3">
    <mergeCell ref="A1:D1"/>
    <mergeCell ref="F1:G1"/>
    <mergeCell ref="I1:J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5"/>
  <sheetViews>
    <sheetView showGridLines="0" tabSelected="1" workbookViewId="0">
      <selection activeCell="Q9" sqref="Q9"/>
    </sheetView>
  </sheetViews>
  <sheetFormatPr defaultRowHeight="15" x14ac:dyDescent="0.25"/>
  <sheetData>
    <row r="1" spans="1:16" x14ac:dyDescent="0.25">
      <c r="A1" s="37" t="s">
        <v>271</v>
      </c>
      <c r="B1" s="26"/>
      <c r="C1" s="26"/>
      <c r="D1" s="26"/>
      <c r="E1" s="26"/>
      <c r="F1" s="26"/>
      <c r="G1" s="26"/>
      <c r="H1" s="26"/>
      <c r="I1" s="26"/>
      <c r="J1" s="26"/>
      <c r="K1" s="26"/>
      <c r="L1" s="26"/>
      <c r="M1" s="26"/>
      <c r="N1" s="26"/>
      <c r="O1" s="26"/>
      <c r="P1" s="27"/>
    </row>
    <row r="2" spans="1:16" x14ac:dyDescent="0.25">
      <c r="A2" s="28"/>
      <c r="B2" s="29"/>
      <c r="C2" s="29"/>
      <c r="D2" s="29"/>
      <c r="E2" s="29"/>
      <c r="F2" s="29"/>
      <c r="G2" s="29"/>
      <c r="H2" s="29"/>
      <c r="I2" s="29"/>
      <c r="J2" s="29"/>
      <c r="K2" s="29"/>
      <c r="L2" s="29"/>
      <c r="M2" s="29"/>
      <c r="N2" s="29"/>
      <c r="O2" s="29"/>
      <c r="P2" s="30"/>
    </row>
    <row r="3" spans="1:16" x14ac:dyDescent="0.25">
      <c r="A3" s="31"/>
      <c r="B3" s="32"/>
      <c r="C3" s="32"/>
      <c r="D3" s="32"/>
      <c r="E3" s="32"/>
      <c r="F3" s="32"/>
      <c r="G3" s="32"/>
      <c r="H3" s="32"/>
      <c r="I3" s="32"/>
      <c r="J3" s="32"/>
      <c r="K3" s="32"/>
      <c r="L3" s="32"/>
      <c r="M3" s="32"/>
      <c r="N3" s="32"/>
      <c r="O3" s="32"/>
      <c r="P3" s="33"/>
    </row>
    <row r="4" spans="1:16" x14ac:dyDescent="0.25">
      <c r="A4" s="31"/>
      <c r="B4" s="32"/>
      <c r="C4" s="32"/>
      <c r="D4" s="32"/>
      <c r="E4" s="32"/>
      <c r="F4" s="32"/>
      <c r="G4" s="32"/>
      <c r="H4" s="32"/>
      <c r="I4" s="32"/>
      <c r="J4" s="32"/>
      <c r="K4" s="32"/>
      <c r="L4" s="32"/>
      <c r="M4" s="32"/>
      <c r="N4" s="32"/>
      <c r="O4" s="32"/>
      <c r="P4" s="33"/>
    </row>
    <row r="5" spans="1:16" x14ac:dyDescent="0.25">
      <c r="A5" s="31"/>
      <c r="B5" s="32"/>
      <c r="C5" s="32"/>
      <c r="D5" s="32"/>
      <c r="E5" s="32"/>
      <c r="F5" s="32"/>
      <c r="G5" s="32"/>
      <c r="H5" s="32"/>
      <c r="I5" s="32"/>
      <c r="J5" s="32"/>
      <c r="K5" s="32"/>
      <c r="L5" s="32"/>
      <c r="M5" s="32"/>
      <c r="N5" s="32"/>
      <c r="O5" s="32"/>
      <c r="P5" s="33"/>
    </row>
    <row r="6" spans="1:16" x14ac:dyDescent="0.25">
      <c r="A6" s="31"/>
      <c r="B6" s="32"/>
      <c r="C6" s="32"/>
      <c r="D6" s="32"/>
      <c r="E6" s="32"/>
      <c r="F6" s="32"/>
      <c r="G6" s="32"/>
      <c r="H6" s="32"/>
      <c r="I6" s="32"/>
      <c r="J6" s="32"/>
      <c r="K6" s="32"/>
      <c r="L6" s="32"/>
      <c r="M6" s="32"/>
      <c r="N6" s="32"/>
      <c r="O6" s="32"/>
      <c r="P6" s="33"/>
    </row>
    <row r="7" spans="1:16" x14ac:dyDescent="0.25">
      <c r="A7" s="31"/>
      <c r="B7" s="32"/>
      <c r="C7" s="32"/>
      <c r="D7" s="32"/>
      <c r="E7" s="32"/>
      <c r="F7" s="32"/>
      <c r="G7" s="32"/>
      <c r="H7" s="32"/>
      <c r="I7" s="32"/>
      <c r="J7" s="32"/>
      <c r="K7" s="32"/>
      <c r="L7" s="32"/>
      <c r="M7" s="32"/>
      <c r="N7" s="32"/>
      <c r="O7" s="32"/>
      <c r="P7" s="33"/>
    </row>
    <row r="8" spans="1:16" x14ac:dyDescent="0.25">
      <c r="A8" s="31"/>
      <c r="B8" s="32"/>
      <c r="C8" s="32"/>
      <c r="D8" s="32"/>
      <c r="E8" s="32"/>
      <c r="F8" s="32"/>
      <c r="G8" s="32"/>
      <c r="H8" s="32"/>
      <c r="I8" s="32"/>
      <c r="J8" s="32"/>
      <c r="K8" s="32"/>
      <c r="L8" s="32"/>
      <c r="M8" s="32"/>
      <c r="N8" s="32"/>
      <c r="O8" s="32"/>
      <c r="P8" s="33"/>
    </row>
    <row r="9" spans="1:16" x14ac:dyDescent="0.25">
      <c r="A9" s="31"/>
      <c r="B9" s="32"/>
      <c r="C9" s="32"/>
      <c r="D9" s="32"/>
      <c r="E9" s="32"/>
      <c r="F9" s="32"/>
      <c r="G9" s="32"/>
      <c r="H9" s="32"/>
      <c r="I9" s="32"/>
      <c r="J9" s="32"/>
      <c r="K9" s="32"/>
      <c r="L9" s="32"/>
      <c r="M9" s="32"/>
      <c r="N9" s="32"/>
      <c r="O9" s="32"/>
      <c r="P9" s="33"/>
    </row>
    <row r="10" spans="1:16" x14ac:dyDescent="0.25">
      <c r="A10" s="31"/>
      <c r="B10" s="32"/>
      <c r="C10" s="32"/>
      <c r="D10" s="32"/>
      <c r="E10" s="32"/>
      <c r="F10" s="32"/>
      <c r="G10" s="32"/>
      <c r="H10" s="32"/>
      <c r="I10" s="32"/>
      <c r="J10" s="32"/>
      <c r="K10" s="32"/>
      <c r="L10" s="32"/>
      <c r="M10" s="32"/>
      <c r="N10" s="32"/>
      <c r="O10" s="32"/>
      <c r="P10" s="33"/>
    </row>
    <row r="11" spans="1:16" x14ac:dyDescent="0.25">
      <c r="A11" s="31"/>
      <c r="B11" s="32"/>
      <c r="C11" s="32"/>
      <c r="D11" s="32"/>
      <c r="E11" s="32"/>
      <c r="F11" s="32"/>
      <c r="G11" s="32"/>
      <c r="H11" s="32"/>
      <c r="I11" s="32"/>
      <c r="J11" s="32"/>
      <c r="K11" s="32"/>
      <c r="L11" s="32"/>
      <c r="M11" s="32"/>
      <c r="N11" s="32"/>
      <c r="O11" s="32"/>
      <c r="P11" s="33"/>
    </row>
    <row r="12" spans="1:16" x14ac:dyDescent="0.25">
      <c r="A12" s="31"/>
      <c r="B12" s="32"/>
      <c r="C12" s="32"/>
      <c r="D12" s="32"/>
      <c r="E12" s="32"/>
      <c r="F12" s="32"/>
      <c r="G12" s="32"/>
      <c r="H12" s="32"/>
      <c r="I12" s="32"/>
      <c r="J12" s="32"/>
      <c r="K12" s="32"/>
      <c r="L12" s="32"/>
      <c r="M12" s="32"/>
      <c r="N12" s="32"/>
      <c r="O12" s="32"/>
      <c r="P12" s="33"/>
    </row>
    <row r="13" spans="1:16" x14ac:dyDescent="0.25">
      <c r="A13" s="31"/>
      <c r="B13" s="32"/>
      <c r="C13" s="32"/>
      <c r="D13" s="32"/>
      <c r="E13" s="32"/>
      <c r="F13" s="32"/>
      <c r="G13" s="32"/>
      <c r="H13" s="32"/>
      <c r="I13" s="32"/>
      <c r="J13" s="32"/>
      <c r="K13" s="32"/>
      <c r="L13" s="32"/>
      <c r="M13" s="32"/>
      <c r="N13" s="32"/>
      <c r="O13" s="32"/>
      <c r="P13" s="33"/>
    </row>
    <row r="14" spans="1:16" x14ac:dyDescent="0.25">
      <c r="A14" s="31"/>
      <c r="B14" s="32"/>
      <c r="C14" s="32"/>
      <c r="D14" s="32"/>
      <c r="E14" s="32"/>
      <c r="F14" s="32"/>
      <c r="G14" s="32"/>
      <c r="H14" s="32"/>
      <c r="I14" s="32"/>
      <c r="J14" s="32"/>
      <c r="K14" s="32"/>
      <c r="L14" s="32"/>
      <c r="M14" s="32"/>
      <c r="N14" s="32"/>
      <c r="O14" s="32"/>
      <c r="P14" s="33"/>
    </row>
    <row r="15" spans="1:16" x14ac:dyDescent="0.25">
      <c r="A15" s="31"/>
      <c r="B15" s="32"/>
      <c r="C15" s="32"/>
      <c r="D15" s="32"/>
      <c r="E15" s="32"/>
      <c r="F15" s="32"/>
      <c r="G15" s="32"/>
      <c r="H15" s="32"/>
      <c r="I15" s="32"/>
      <c r="J15" s="32"/>
      <c r="K15" s="32"/>
      <c r="L15" s="32"/>
      <c r="M15" s="32"/>
      <c r="N15" s="32"/>
      <c r="O15" s="32"/>
      <c r="P15" s="33"/>
    </row>
    <row r="16" spans="1:16" x14ac:dyDescent="0.25">
      <c r="A16" s="31"/>
      <c r="B16" s="32"/>
      <c r="C16" s="32"/>
      <c r="D16" s="32"/>
      <c r="E16" s="32"/>
      <c r="F16" s="32"/>
      <c r="G16" s="32"/>
      <c r="H16" s="32"/>
      <c r="I16" s="32"/>
      <c r="J16" s="32"/>
      <c r="K16" s="32"/>
      <c r="L16" s="32"/>
      <c r="M16" s="32"/>
      <c r="N16" s="32"/>
      <c r="O16" s="32"/>
      <c r="P16" s="33"/>
    </row>
    <row r="17" spans="1:16" x14ac:dyDescent="0.25">
      <c r="A17" s="31"/>
      <c r="B17" s="32"/>
      <c r="C17" s="32"/>
      <c r="D17" s="32"/>
      <c r="E17" s="32"/>
      <c r="F17" s="32"/>
      <c r="G17" s="32"/>
      <c r="H17" s="32"/>
      <c r="I17" s="32"/>
      <c r="J17" s="32"/>
      <c r="K17" s="32"/>
      <c r="L17" s="32"/>
      <c r="M17" s="32"/>
      <c r="N17" s="32"/>
      <c r="O17" s="32"/>
      <c r="P17" s="33"/>
    </row>
    <row r="18" spans="1:16" x14ac:dyDescent="0.25">
      <c r="A18" s="31"/>
      <c r="B18" s="32"/>
      <c r="C18" s="32"/>
      <c r="D18" s="32"/>
      <c r="E18" s="32"/>
      <c r="F18" s="32"/>
      <c r="G18" s="32"/>
      <c r="H18" s="32"/>
      <c r="I18" s="32"/>
      <c r="J18" s="32"/>
      <c r="K18" s="32"/>
      <c r="L18" s="32"/>
      <c r="M18" s="32"/>
      <c r="N18" s="32"/>
      <c r="O18" s="32"/>
      <c r="P18" s="33"/>
    </row>
    <row r="19" spans="1:16" x14ac:dyDescent="0.25">
      <c r="A19" s="31"/>
      <c r="B19" s="32"/>
      <c r="C19" s="32"/>
      <c r="D19" s="32"/>
      <c r="E19" s="32"/>
      <c r="F19" s="32"/>
      <c r="G19" s="32"/>
      <c r="H19" s="32"/>
      <c r="I19" s="32"/>
      <c r="J19" s="32"/>
      <c r="K19" s="32"/>
      <c r="L19" s="32"/>
      <c r="M19" s="32"/>
      <c r="N19" s="32"/>
      <c r="O19" s="32"/>
      <c r="P19" s="33"/>
    </row>
    <row r="20" spans="1:16" x14ac:dyDescent="0.25">
      <c r="A20" s="31"/>
      <c r="B20" s="32"/>
      <c r="C20" s="32"/>
      <c r="D20" s="32"/>
      <c r="E20" s="32"/>
      <c r="F20" s="32"/>
      <c r="G20" s="32"/>
      <c r="H20" s="32"/>
      <c r="I20" s="32"/>
      <c r="J20" s="32"/>
      <c r="K20" s="32"/>
      <c r="L20" s="32"/>
      <c r="M20" s="32"/>
      <c r="N20" s="32"/>
      <c r="O20" s="32"/>
      <c r="P20" s="33"/>
    </row>
    <row r="21" spans="1:16" x14ac:dyDescent="0.25">
      <c r="A21" s="31"/>
      <c r="B21" s="32"/>
      <c r="C21" s="32"/>
      <c r="D21" s="32"/>
      <c r="E21" s="32"/>
      <c r="F21" s="32"/>
      <c r="G21" s="32"/>
      <c r="H21" s="32"/>
      <c r="I21" s="32"/>
      <c r="J21" s="32"/>
      <c r="K21" s="32"/>
      <c r="L21" s="32"/>
      <c r="M21" s="32"/>
      <c r="N21" s="32"/>
      <c r="O21" s="32"/>
      <c r="P21" s="33"/>
    </row>
    <row r="22" spans="1:16" x14ac:dyDescent="0.25">
      <c r="A22" s="31"/>
      <c r="B22" s="32"/>
      <c r="C22" s="32"/>
      <c r="D22" s="32"/>
      <c r="E22" s="32"/>
      <c r="F22" s="32"/>
      <c r="G22" s="32"/>
      <c r="H22" s="32"/>
      <c r="I22" s="32"/>
      <c r="J22" s="32"/>
      <c r="K22" s="32"/>
      <c r="L22" s="32"/>
      <c r="M22" s="32"/>
      <c r="N22" s="32"/>
      <c r="O22" s="32"/>
      <c r="P22" s="33"/>
    </row>
    <row r="23" spans="1:16" x14ac:dyDescent="0.25">
      <c r="A23" s="31"/>
      <c r="B23" s="32"/>
      <c r="C23" s="32"/>
      <c r="D23" s="32"/>
      <c r="E23" s="32"/>
      <c r="F23" s="32"/>
      <c r="G23" s="32"/>
      <c r="H23" s="32"/>
      <c r="I23" s="32"/>
      <c r="J23" s="32"/>
      <c r="K23" s="32"/>
      <c r="L23" s="32"/>
      <c r="M23" s="32"/>
      <c r="N23" s="32"/>
      <c r="O23" s="32"/>
      <c r="P23" s="33"/>
    </row>
    <row r="24" spans="1:16" x14ac:dyDescent="0.25">
      <c r="A24" s="31"/>
      <c r="B24" s="32"/>
      <c r="C24" s="32"/>
      <c r="D24" s="32"/>
      <c r="E24" s="32"/>
      <c r="F24" s="32"/>
      <c r="G24" s="32"/>
      <c r="H24" s="32"/>
      <c r="I24" s="32"/>
      <c r="J24" s="32"/>
      <c r="K24" s="32"/>
      <c r="L24" s="32"/>
      <c r="M24" s="32"/>
      <c r="N24" s="32"/>
      <c r="O24" s="32"/>
      <c r="P24" s="33"/>
    </row>
    <row r="25" spans="1:16" x14ac:dyDescent="0.25">
      <c r="A25" s="34"/>
      <c r="B25" s="35"/>
      <c r="C25" s="35"/>
      <c r="D25" s="35"/>
      <c r="E25" s="35"/>
      <c r="F25" s="35"/>
      <c r="G25" s="35"/>
      <c r="H25" s="35"/>
      <c r="I25" s="35"/>
      <c r="J25" s="35"/>
      <c r="K25" s="35"/>
      <c r="L25" s="35"/>
      <c r="M25" s="35"/>
      <c r="N25" s="35"/>
      <c r="O25" s="35"/>
      <c r="P25" s="36"/>
    </row>
  </sheetData>
  <mergeCells count="1">
    <mergeCell ref="A1:P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H7" sqref="H7"/>
    </sheetView>
  </sheetViews>
  <sheetFormatPr defaultRowHeight="15" x14ac:dyDescent="0.25"/>
  <cols>
    <col min="1" max="1" width="11.28515625" bestFit="1" customWidth="1"/>
    <col min="2" max="2" width="16.5703125" bestFit="1" customWidth="1"/>
  </cols>
  <sheetData>
    <row r="3" spans="1:2" x14ac:dyDescent="0.25">
      <c r="A3" s="4" t="s">
        <v>1</v>
      </c>
      <c r="B3" t="s">
        <v>264</v>
      </c>
    </row>
    <row r="4" spans="1:2" x14ac:dyDescent="0.25">
      <c r="A4" t="s">
        <v>41</v>
      </c>
      <c r="B4" s="5">
        <v>93552.871000000028</v>
      </c>
    </row>
    <row r="5" spans="1:2" x14ac:dyDescent="0.25">
      <c r="A5" t="s">
        <v>18</v>
      </c>
      <c r="B5" s="5">
        <v>56705.127499999988</v>
      </c>
    </row>
    <row r="6" spans="1:2" x14ac:dyDescent="0.25">
      <c r="A6" t="s">
        <v>36</v>
      </c>
      <c r="B6" s="5">
        <v>56432.544999999991</v>
      </c>
    </row>
    <row r="7" spans="1:2" x14ac:dyDescent="0.25">
      <c r="A7" t="s">
        <v>27</v>
      </c>
      <c r="B7" s="5">
        <v>59673.343499999995</v>
      </c>
    </row>
    <row r="8" spans="1:2" x14ac:dyDescent="0.25">
      <c r="A8" t="s">
        <v>66</v>
      </c>
      <c r="B8" s="5">
        <v>42490.721999999994</v>
      </c>
    </row>
    <row r="9" spans="1:2" x14ac:dyDescent="0.25">
      <c r="A9" t="s">
        <v>251</v>
      </c>
      <c r="B9" s="5">
        <v>308854.609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I13" sqref="I13"/>
    </sheetView>
  </sheetViews>
  <sheetFormatPr defaultRowHeight="15" x14ac:dyDescent="0.25"/>
  <cols>
    <col min="1" max="1" width="16.28515625" bestFit="1" customWidth="1"/>
    <col min="2" max="2" width="16.5703125" bestFit="1" customWidth="1"/>
  </cols>
  <sheetData>
    <row r="3" spans="1:2" x14ac:dyDescent="0.25">
      <c r="A3" s="4" t="s">
        <v>265</v>
      </c>
      <c r="B3" t="s">
        <v>264</v>
      </c>
    </row>
    <row r="4" spans="1:2" x14ac:dyDescent="0.25">
      <c r="A4" t="s">
        <v>252</v>
      </c>
      <c r="B4" s="5">
        <v>35526.483</v>
      </c>
    </row>
    <row r="5" spans="1:2" x14ac:dyDescent="0.25">
      <c r="A5" t="s">
        <v>253</v>
      </c>
      <c r="B5" s="5">
        <v>37971.304000000004</v>
      </c>
    </row>
    <row r="6" spans="1:2" x14ac:dyDescent="0.25">
      <c r="A6" t="s">
        <v>254</v>
      </c>
      <c r="B6" s="5">
        <v>41071.667499999996</v>
      </c>
    </row>
    <row r="7" spans="1:2" x14ac:dyDescent="0.25">
      <c r="A7" t="s">
        <v>255</v>
      </c>
      <c r="B7" s="5">
        <v>27095.969499999999</v>
      </c>
    </row>
    <row r="8" spans="1:2" x14ac:dyDescent="0.25">
      <c r="A8" t="s">
        <v>256</v>
      </c>
      <c r="B8" s="5">
        <v>36831.326499999996</v>
      </c>
    </row>
    <row r="9" spans="1:2" x14ac:dyDescent="0.25">
      <c r="A9" t="s">
        <v>257</v>
      </c>
      <c r="B9" s="5">
        <v>22365.816999999995</v>
      </c>
    </row>
    <row r="10" spans="1:2" x14ac:dyDescent="0.25">
      <c r="A10" t="s">
        <v>258</v>
      </c>
      <c r="B10" s="5">
        <v>18750.3285</v>
      </c>
    </row>
    <row r="11" spans="1:2" x14ac:dyDescent="0.25">
      <c r="A11" t="s">
        <v>259</v>
      </c>
      <c r="B11" s="5">
        <v>6938.1840000000011</v>
      </c>
    </row>
    <row r="12" spans="1:2" x14ac:dyDescent="0.25">
      <c r="A12" t="s">
        <v>260</v>
      </c>
      <c r="B12" s="5">
        <v>6626.2020000000002</v>
      </c>
    </row>
    <row r="13" spans="1:2" x14ac:dyDescent="0.25">
      <c r="A13" t="s">
        <v>261</v>
      </c>
      <c r="B13" s="5">
        <v>27776.313499999997</v>
      </c>
    </row>
    <row r="14" spans="1:2" x14ac:dyDescent="0.25">
      <c r="A14" t="s">
        <v>262</v>
      </c>
      <c r="B14" s="5">
        <v>26981.652499999997</v>
      </c>
    </row>
    <row r="15" spans="1:2" x14ac:dyDescent="0.25">
      <c r="A15" t="s">
        <v>263</v>
      </c>
      <c r="B15" s="5">
        <v>20919.361000000001</v>
      </c>
    </row>
    <row r="16" spans="1:2" x14ac:dyDescent="0.25">
      <c r="A16" t="s">
        <v>251</v>
      </c>
      <c r="B16" s="5">
        <v>308854.609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A3" sqref="A3"/>
    </sheetView>
  </sheetViews>
  <sheetFormatPr defaultRowHeight="15" x14ac:dyDescent="0.25"/>
  <cols>
    <col min="1" max="1" width="11.28515625" bestFit="1" customWidth="1"/>
    <col min="2" max="2" width="16.5703125" bestFit="1" customWidth="1"/>
    <col min="3" max="5" width="11" bestFit="1" customWidth="1"/>
    <col min="6" max="6" width="12" bestFit="1" customWidth="1"/>
    <col min="7" max="7" width="11" bestFit="1" customWidth="1"/>
  </cols>
  <sheetData>
    <row r="3" spans="1:2" x14ac:dyDescent="0.25">
      <c r="A3" s="4" t="s">
        <v>2</v>
      </c>
      <c r="B3" t="s">
        <v>264</v>
      </c>
    </row>
    <row r="4" spans="1:2" x14ac:dyDescent="0.25">
      <c r="A4" t="s">
        <v>42</v>
      </c>
      <c r="B4" s="5">
        <v>47507.756499999996</v>
      </c>
    </row>
    <row r="5" spans="1:2" x14ac:dyDescent="0.25">
      <c r="A5" t="s">
        <v>37</v>
      </c>
      <c r="B5" s="5">
        <v>61269.575999999994</v>
      </c>
    </row>
    <row r="6" spans="1:2" x14ac:dyDescent="0.25">
      <c r="A6" t="s">
        <v>19</v>
      </c>
      <c r="B6" s="5">
        <v>55555.426500000001</v>
      </c>
    </row>
    <row r="7" spans="1:2" x14ac:dyDescent="0.25">
      <c r="A7" t="s">
        <v>51</v>
      </c>
      <c r="B7" s="5">
        <v>24137.040000000001</v>
      </c>
    </row>
    <row r="8" spans="1:2" x14ac:dyDescent="0.25">
      <c r="A8" t="s">
        <v>28</v>
      </c>
      <c r="B8" s="5">
        <v>44999.142999999996</v>
      </c>
    </row>
    <row r="9" spans="1:2" x14ac:dyDescent="0.25">
      <c r="A9" t="s">
        <v>127</v>
      </c>
      <c r="B9" s="5">
        <v>21996.18</v>
      </c>
    </row>
    <row r="10" spans="1:2" x14ac:dyDescent="0.25">
      <c r="A10" t="s">
        <v>76</v>
      </c>
      <c r="B10" s="5">
        <v>53389.487000000008</v>
      </c>
    </row>
    <row r="11" spans="1:2" x14ac:dyDescent="0.25">
      <c r="A11" t="s">
        <v>251</v>
      </c>
      <c r="B11" s="5">
        <v>308854.609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A3" sqref="A3"/>
    </sheetView>
  </sheetViews>
  <sheetFormatPr defaultRowHeight="15" x14ac:dyDescent="0.25"/>
  <cols>
    <col min="1" max="1" width="11.28515625" customWidth="1"/>
    <col min="2" max="2" width="15.42578125" customWidth="1"/>
    <col min="3" max="3" width="9.7109375" customWidth="1"/>
    <col min="4" max="4" width="7.5703125" customWidth="1"/>
    <col min="5" max="5" width="6.140625" customWidth="1"/>
    <col min="6" max="6" width="7.5703125" customWidth="1"/>
    <col min="7" max="7" width="6.28515625" customWidth="1"/>
    <col min="8" max="8" width="7.42578125" customWidth="1"/>
    <col min="9" max="10" width="2" bestFit="1" customWidth="1"/>
    <col min="11" max="21" width="3" bestFit="1" customWidth="1"/>
    <col min="22" max="22" width="11.28515625" bestFit="1" customWidth="1"/>
    <col min="23" max="23" width="10.140625" bestFit="1" customWidth="1"/>
    <col min="24" max="24" width="13.28515625" bestFit="1" customWidth="1"/>
    <col min="25" max="29" width="8.5703125" customWidth="1"/>
    <col min="30" max="30" width="11.5703125" bestFit="1" customWidth="1"/>
    <col min="31" max="33" width="9" customWidth="1"/>
    <col min="34" max="34" width="12" bestFit="1" customWidth="1"/>
    <col min="35" max="39" width="8.42578125" customWidth="1"/>
    <col min="40" max="40" width="11.42578125" bestFit="1" customWidth="1"/>
    <col min="41" max="41" width="11.28515625" bestFit="1" customWidth="1"/>
  </cols>
  <sheetData>
    <row r="3" spans="1:2" x14ac:dyDescent="0.25">
      <c r="A3" s="4" t="s">
        <v>1</v>
      </c>
      <c r="B3" t="s">
        <v>270</v>
      </c>
    </row>
    <row r="4" spans="1:2" x14ac:dyDescent="0.25">
      <c r="A4" t="s">
        <v>41</v>
      </c>
      <c r="B4" s="5">
        <v>287</v>
      </c>
    </row>
    <row r="5" spans="1:2" x14ac:dyDescent="0.25">
      <c r="A5" t="s">
        <v>18</v>
      </c>
      <c r="B5" s="5">
        <v>217</v>
      </c>
    </row>
    <row r="6" spans="1:2" x14ac:dyDescent="0.25">
      <c r="A6" t="s">
        <v>36</v>
      </c>
      <c r="B6" s="5">
        <v>169</v>
      </c>
    </row>
    <row r="7" spans="1:2" x14ac:dyDescent="0.25">
      <c r="A7" t="s">
        <v>27</v>
      </c>
      <c r="B7" s="5">
        <v>180</v>
      </c>
    </row>
    <row r="8" spans="1:2" x14ac:dyDescent="0.25">
      <c r="A8" t="s">
        <v>66</v>
      </c>
      <c r="B8" s="5">
        <v>201</v>
      </c>
    </row>
    <row r="9" spans="1:2" x14ac:dyDescent="0.25">
      <c r="A9" t="s">
        <v>251</v>
      </c>
      <c r="B9" s="5">
        <v>1054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F6" sqref="F6"/>
    </sheetView>
  </sheetViews>
  <sheetFormatPr defaultRowHeight="15" x14ac:dyDescent="0.25"/>
  <cols>
    <col min="1" max="1" width="18.42578125" customWidth="1"/>
    <col min="2" max="2" width="16.5703125" customWidth="1"/>
  </cols>
  <sheetData>
    <row r="3" spans="1:2" x14ac:dyDescent="0.25">
      <c r="A3" s="4" t="s">
        <v>10</v>
      </c>
      <c r="B3" t="s">
        <v>264</v>
      </c>
    </row>
    <row r="4" spans="1:2" x14ac:dyDescent="0.25">
      <c r="A4" t="s">
        <v>60</v>
      </c>
      <c r="B4" s="5">
        <v>36578.335999999996</v>
      </c>
    </row>
    <row r="5" spans="1:2" x14ac:dyDescent="0.25">
      <c r="A5" t="s">
        <v>54</v>
      </c>
      <c r="B5" s="5">
        <v>63489.49</v>
      </c>
    </row>
    <row r="6" spans="1:2" x14ac:dyDescent="0.25">
      <c r="A6" t="s">
        <v>57</v>
      </c>
      <c r="B6" s="5">
        <v>27929.255999999994</v>
      </c>
    </row>
    <row r="7" spans="1:2" x14ac:dyDescent="0.25">
      <c r="A7" t="s">
        <v>32</v>
      </c>
      <c r="B7" s="5">
        <v>78911.626499999998</v>
      </c>
    </row>
    <row r="8" spans="1:2" x14ac:dyDescent="0.25">
      <c r="A8" t="s">
        <v>23</v>
      </c>
      <c r="B8" s="5">
        <v>101945.90050000002</v>
      </c>
    </row>
    <row r="9" spans="1:2" x14ac:dyDescent="0.25">
      <c r="A9" t="s">
        <v>251</v>
      </c>
      <c r="B9" s="5">
        <v>308854.60900000005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Advance_Formula</vt:lpstr>
      <vt:lpstr>Dashboard</vt:lpstr>
      <vt:lpstr>Region Vs TotalPrice</vt:lpstr>
      <vt:lpstr>Month Wise TotalPrice </vt:lpstr>
      <vt:lpstr>Product vs TotalPrice</vt:lpstr>
      <vt:lpstr>Region Vs Sum of Quantity</vt:lpstr>
      <vt:lpstr>PaymentMethod vs TotalPrice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KHARADI</dc:creator>
  <cp:lastModifiedBy>om</cp:lastModifiedBy>
  <dcterms:created xsi:type="dcterms:W3CDTF">2015-06-05T18:17:20Z</dcterms:created>
  <dcterms:modified xsi:type="dcterms:W3CDTF">2026-04-17T08:36:49Z</dcterms:modified>
</cp:coreProperties>
</file>